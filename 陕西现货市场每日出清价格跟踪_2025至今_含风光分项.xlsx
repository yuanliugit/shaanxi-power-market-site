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890109082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7614d758b524960"/>
    <x:sheet xmlns:r="http://schemas.openxmlformats.org/officeDocument/2006/relationships" name="每日数据" sheetId="2" r:id="R754d4377ecdd4066"/>
    <x:sheet xmlns:r="http://schemas.openxmlformats.org/officeDocument/2006/relationships" name="风光分项" sheetId="3" r:id="R4e16e32f5e584747"/>
    <x:sheet xmlns:r="http://schemas.openxmlformats.org/officeDocument/2006/relationships" name="月度汇总" sheetId="4" r:id="Rb71809010ce44e6f"/>
    <x:sheet xmlns:r="http://schemas.openxmlformats.org/officeDocument/2006/relationships" name="风光月度" sheetId="5" r:id="R110e51f1ea814bff"/>
    <x:sheet xmlns:r="http://schemas.openxmlformats.org/officeDocument/2006/relationships" name="数据质量" sheetId="6" r:id="R1bcc4126b5eb46a7"/>
    <x:sheet xmlns:r="http://schemas.openxmlformats.org/officeDocument/2006/relationships" name="来源与跟踪计划" sheetId="7" r:id="R09a466c46da14b31"/>
    <x:sheet xmlns:r="http://schemas.openxmlformats.org/officeDocument/2006/relationships" name="官方日报快报" sheetId="8" r:id="Rec8ca269ee194adc"/>
  </x:sheets>
</x:workbook>
</file>

<file path=xl/comments1.xml><?xml version="1.0" encoding="utf-8"?>
<x:comments xmlns:x="http://schemas.openxmlformats.org/spreadsheetml/2006/main">
  <x:authors>
    <x:author>tc={DA1A8A17-7345-4B8F-B5A9-DEAF3930948B}</x:author>
  </x:authors>
  <x:commentList>
    <x:comment ref="B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2026-10-27网站当前回溯值；成功抓取时间2026-10-28T14:16:22.777699Z。公众号同日快报用于核验，差异不覆盖网站主序列。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tc={79C7A1E6-423E-44A9-93AF-A403DFD4587B}</x:author>
  </x:authors>
  <x:commentList>
    <x:comment ref="C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主数据来自陕西电力交易中心现货专区公开接口；工作簿内保留网页入口便于人工复核。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0.00"/>
    <x:numFmt numFmtId="202" formatCode="0.00;[Red](0.00);-"/>
    <x:numFmt numFmtId="203" formatCode="#,##0.00"/>
    <x:numFmt numFmtId="204" formatCode="0.0%"/>
    <x:numFmt numFmtId="205" formatCode="yyyy-mm"/>
    <x:numFmt numFmtId="206" formatCode="0"/>
    <x:numFmt numFmtId="207" formatCode="0.000"/>
    <x:numFmt numFmtId="208" formatCode="0.00%"/>
  </x:numFmts>
  <x:fonts count="15">
    <x:font>
      <x:sz val="11"/>
      <x:name val="Carlito"/>
    </x:font>
    <x:font>
      <x:b/>
      <x:sz val="18"/>
      <x:color rgb="FFFFFFFF"/>
      <x:name val="Carlito"/>
    </x:font>
    <x:font>
      <x:sz val="10"/>
      <x:color rgb="FF4B5563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sz val="11"/>
      <x:color rgb="FF7C4A03"/>
      <x:name val="Carlito"/>
    </x:font>
    <x:font>
      <x:b/>
      <x:sz val="18"/>
      <x:color rgb="FFFFFFFF"/>
      <x:name val="Arial"/>
    </x:font>
    <x:font>
      <x:sz val="10"/>
      <x:color rgb="FF4B5563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b/>
      <x:sz val="11"/>
      <x:name val="Arial"/>
    </x:font>
    <x:font>
      <x:sz val="11"/>
      <x:color rgb="FF7C4A03"/>
      <x:name val="Arial"/>
    </x:font>
    <x:font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1D5DB"/>
      </x:bottom>
      <x:diagonal/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4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201" fontId="9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204" fontId="0" fillId="0" borderId="0" xfId="0" applyNumberFormat="1" applyFont="1" applyFill="1" applyBorder="1"/>
    <x:xf numFmtId="204" fontId="9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5" fontId="0" fillId="7" borderId="0" xfId="0" applyNumberFormat="1" applyFont="1" applyFill="1" applyBorder="1"/>
    <x:xf numFmtId="202" fontId="0" fillId="7" borderId="0" xfId="0" applyNumberFormat="1" applyFont="1" applyFill="1" applyBorder="1"/>
    <x:xf numFmtId="206" fontId="0" fillId="7" borderId="0" xfId="0" applyNumberFormat="1" applyFont="1" applyFill="1" applyBorder="1"/>
    <x:xf numFmtId="205" fontId="14" fillId="7" borderId="0" xfId="0" applyNumberFormat="1" applyFont="1" applyFill="1" applyBorder="1"/>
    <x:xf numFmtId="202" fontId="14" fillId="7" borderId="0" xfId="0" applyNumberFormat="1" applyFont="1" applyFill="1" applyBorder="1"/>
    <x:xf numFmtId="206" fontId="14" fillId="7" borderId="0" xfId="0" applyNumberFormat="1" applyFont="1" applyFill="1" applyBorder="1"/>
    <x:xf numFmtId="0" fontId="0" fillId="7" borderId="0" xfId="0" applyNumberFormat="1" applyFont="1" applyFill="1" applyBorder="1"/>
    <x:xf numFmtId="207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201" fontId="0" fillId="5" borderId="0" xfId="0" applyNumberFormat="1" applyFont="1" applyFill="1" applyBorder="1"/>
  </x:cellXfs>
  <x:cellStyles count="1">
    <x:cellStyle name="Normal" xfId="0"/>
  </x:cellStyles>
  <x:dxfs count="5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4B5563"/>
      </x:font>
      <x:fill>
        <x:patternFill patternType="solid">
          <x:bgColor rgb="FFF2F2F2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e1ee37c5d42e0" /><Relationship Type="http://schemas.openxmlformats.org/officeDocument/2006/relationships/theme" Target="/xl/theme/theme1.xml" Id="R843beeaf6a8b4a41" /><Relationship Type="http://schemas.openxmlformats.org/officeDocument/2006/relationships/sharedStrings" Target="/xl/sharedStrings.xml" Id="Rb950dd87d2f249ec" /><Relationship Type="http://schemas.openxmlformats.org/officeDocument/2006/relationships/worksheet" Target="/xl/worksheets/sheet1.xml" Id="Rc7614d758b524960" /><Relationship Type="http://schemas.openxmlformats.org/officeDocument/2006/relationships/worksheet" Target="/xl/worksheets/sheet2.xml" Id="R754d4377ecdd4066" /><Relationship Type="http://schemas.openxmlformats.org/officeDocument/2006/relationships/worksheet" Target="/xl/worksheets/sheet3.xml" Id="R4e16e32f5e584747" /><Relationship Type="http://schemas.openxmlformats.org/officeDocument/2006/relationships/worksheet" Target="/xl/worksheets/sheet4.xml" Id="Rb71809010ce44e6f" /><Relationship Type="http://schemas.openxmlformats.org/officeDocument/2006/relationships/worksheet" Target="/xl/worksheets/sheet5.xml" Id="R110e51f1ea814bff" /><Relationship Type="http://schemas.openxmlformats.org/officeDocument/2006/relationships/worksheet" Target="/xl/worksheets/sheet6.xml" Id="R1bcc4126b5eb46a7" /><Relationship Type="http://schemas.openxmlformats.org/officeDocument/2006/relationships/worksheet" Target="/xl/worksheets/sheet7.xml" Id="R09a466c46da14b31" /><Relationship Type="http://schemas.openxmlformats.org/officeDocument/2006/relationships/worksheet" Target="/xl/worksheets/sheet8.xml" Id="Rec8ca269ee194adc" /><Relationship Type="http://schemas.microsoft.com/office/2017/10/relationships/person" Target="/xl/persons/person.xml" Id="Rbdb87ec2ea1e44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a323384e8d454f" /><Relationship Type="http://schemas.openxmlformats.org/officeDocument/2006/relationships/chart" Target="/xl/drawings/charts/chart2.xml" Id="Re8396722110c464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6a7ab35ddce4d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总体日前与实时月均价（元/MWh）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总体日前</c:v>
          </c:tx>
          <c:marker>
            <c:symbol val="none"/>
          </c:marker>
          <c:cat>
            <c:strRef>
              <c:f>'月度汇总'!$A$41:$A$62</c:f>
              <c:strCache>
                <c:ptCount val="0"/>
              </c:strCache>
            </c:strRef>
          </c:cat>
          <c:val>
            <c:numRef>
              <c:f>'月度汇总'!$B$41:$B$62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总体实时</c:v>
          </c:tx>
          <c:marker>
            <c:symbol val="none"/>
          </c:marker>
          <c:cat>
            <c:strRef>
              <c:f>'月度汇总'!$A$41:$A$62</c:f>
              <c:strCache>
                <c:ptCount val="0"/>
              </c:strCache>
            </c:strRef>
          </c:cat>
          <c:val>
            <c:numRef>
              <c:f>'月度汇总'!$C$41:$C$62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火电与新能源月均价（元/MWh）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火电日前</c:v>
          </c:tx>
          <c:spPr>
            <a:ln xmlns:a="http://schemas.openxmlformats.org/drawingml/2006/main">
              <a:solidFill>
                <a:srgbClr val="C55A11"/>
              </a:solidFill>
            </a:ln>
          </c:spPr>
          <c:marker>
            <c:symbol val="none"/>
          </c:marker>
          <c:cat>
            <c:strRef>
              <c:f>'月度汇总'!$A$41:$A$62</c:f>
              <c:strCache>
                <c:ptCount val="0"/>
              </c:strCache>
            </c:strRef>
          </c:cat>
          <c:val>
            <c:numRef>
              <c:f>'月度汇总'!$D$41:$D$62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火电实时</c:v>
          </c:tx>
          <c:spPr>
            <a:ln xmlns:a="http://schemas.openxmlformats.org/drawingml/2006/main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'月度汇总'!$A$41:$A$62</c:f>
              <c:strCache>
                <c:ptCount val="0"/>
              </c:strCache>
            </c:strRef>
          </c:cat>
          <c:val>
            <c:numRef>
              <c:f>'月度汇总'!$E$41:$E$62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新能源日前</c:v>
          </c:tx>
          <c:spPr>
            <a:ln xmlns:a="http://schemas.openxmlformats.org/drawingml/2006/main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'月度汇总'!$A$41:$A$62</c:f>
              <c:strCache>
                <c:ptCount val="0"/>
              </c:strCache>
            </c:strRef>
          </c:cat>
          <c:val>
            <c:numRef>
              <c:f>'月度汇总'!$F$41:$F$62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新能源实时</c:v>
          </c:tx>
          <c:spPr>
            <a:ln xmlns:a="http://schemas.openxmlformats.org/drawingml/2006/main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'月度汇总'!$A$41:$A$62</c:f>
              <c:strCache>
                <c:ptCount val="0"/>
              </c:strCache>
            </c:strRef>
          </c:cat>
          <c:val>
            <c:numRef>
              <c:f>'月度汇总'!$G$41:$G$62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风电与光伏日前/实时月均价（元/MWh）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风电日前</c:v>
          </c:tx>
          <c:marker>
            <c:symbol val="none"/>
          </c:marker>
          <c:cat>
            <c:strRef>
              <c:f>'风光月度'!$A$41:$A$59</c:f>
              <c:strCache>
                <c:ptCount val="0"/>
              </c:strCache>
            </c:strRef>
          </c:cat>
          <c:val>
            <c:numRef>
              <c:f>'风光月度'!$B$41:$B$59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光伏日前</c:v>
          </c:tx>
          <c:marker>
            <c:symbol val="none"/>
          </c:marker>
          <c:cat>
            <c:strRef>
              <c:f>'风光月度'!$A$41:$A$59</c:f>
              <c:strCache>
                <c:ptCount val="0"/>
              </c:strCache>
            </c:strRef>
          </c:cat>
          <c:val>
            <c:numRef>
              <c:f>'风光月度'!$C$41:$C$59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风电实时</c:v>
          </c:tx>
          <c:marker>
            <c:symbol val="none"/>
          </c:marker>
          <c:cat>
            <c:strRef>
              <c:f>'风光月度'!$A$41:$A$59</c:f>
              <c:strCache>
                <c:ptCount val="0"/>
              </c:strCache>
            </c:strRef>
          </c:cat>
          <c:val>
            <c:numRef>
              <c:f>'风光月度'!$D$41:$D$59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光伏实时</c:v>
          </c:tx>
          <c:marker>
            <c:symbol val="none"/>
          </c:marker>
          <c:cat>
            <c:strRef>
              <c:f>'风光月度'!$A$41:$A$59</c:f>
              <c:strCache>
                <c:ptCount val="0"/>
              </c:strCache>
            </c:strRef>
          </c:cat>
          <c:val>
            <c:numRef>
              <c:f>'风光月度'!$E$41:$E$59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a323384e8d454f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396722110c464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a7ab35ddce4d0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4BA4ED4F-815A-4844-9E7C-F134BC2B4CE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8" dT="2026-10-28T14:21:50.431" personId="{4BA4ED4F-815A-4844-9E7C-F134BC2B4CE4}" id="{DA1A8A17-7345-4B8F-B5A9-DEAF3930948B}">
    <xltc:text>2026-10-27网站当前回溯值；成功抓取时间2026-10-28T14:16:22.777699Z。公众号同日快报用于核验，差异不覆盖网站主序列。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6" dT="2026-10-28T14:21:50.431" personId="{4BA4ED4F-815A-4844-9E7C-F134BC2B4CE4}" id="{79C7A1E6-423E-44A9-93AF-A403DFD4587B}">
    <xltc:text>主数据来自陕西电力交易中心现货专区公开接口；工作簿内保留网页入口便于人工复核。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c2c3eb4924d4ba1" /><Relationship Type="http://schemas.openxmlformats.org/officeDocument/2006/relationships/vmlDrawing" Target="/xl/drawings/vmldrawing.vml" Id="Ra8d2036a2dbc4063" /><Relationship Type="http://schemas.microsoft.com/office/2017/10/relationships/threadedComment" Target="/xl/threadedcomments/threadedcomment.xml" Id="Rb1d647d7a5eb4a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5361b8d6d7e4f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e1d3282f4cfc44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2.xml" Id="R57ba4d64d21942c6" /><Relationship Type="http://schemas.openxmlformats.org/officeDocument/2006/relationships/vmlDrawing" Target="/xl/drawings/vmldrawing2.vml" Id="Rb046a741df954de2" /><Relationship Type="http://schemas.microsoft.com/office/2017/10/relationships/threadedComment" Target="/xl/threadedcomments/threadedcomment2.xml" Id="R025df624bda14a18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16" hidden="0" customWidth="1"/>
    <x:col min="1" max="1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34" customHeight="1">
      <x:c r="A1" s="29" t="str">
        <x:v>陕西现货市场每日出清价格跟踪</x:v>
      </x:c>
      <x:c r="B1" s="29" t="str">
        <x:v>陕西现货市场每日出清价格跟踪</x:v>
      </x:c>
      <x:c r="C1" s="29" t="str">
        <x:v>陕西现货市场每日出清价格跟踪</x:v>
      </x:c>
      <x:c r="D1" s="29" t="str">
        <x:v>陕西现货市场每日出清价格跟踪</x:v>
      </x:c>
      <x:c r="E1" s="29" t="str">
        <x:v>陕西现货市场每日出清价格跟踪</x:v>
      </x:c>
      <x:c r="F1" s="29" t="str">
        <x:v>陕西现货市场每日出清价格跟踪</x:v>
      </x:c>
      <x:c r="G1" s="29" t="str">
        <x:v>陕西现货市场每日出清价格跟踪</x:v>
      </x:c>
      <x:c r="H1" s="29" t="str">
        <x:v>陕西现货市场每日出清价格跟踪</x:v>
      </x:c>
    </x:row>
    <x:row r="2" ht="30" customHeight="1">
      <x:c r="A2" s="30" t="str">
        <x:v>本地更新：2026-10-28。官网主序列最新已核实至 2026-10-27；公众号风光最新已核实至 2026-10-27。价格单位：元/MWh。</x:v>
      </x:c>
      <x:c r="B2" s="30" t="str">
        <x:v>本地更新：2026-10-28。官网主序列最新已核实至 2026-10-27；公众号风光最新已核实至 2026-10-27。价格单位：元/MWh。</x:v>
      </x:c>
      <x:c r="C2" s="30" t="str">
        <x:v>本地更新：2026-10-28。官网主序列最新已核实至 2026-10-27；公众号风光最新已核实至 2026-10-27。价格单位：元/MWh。</x:v>
      </x:c>
      <x:c r="D2" s="30" t="str">
        <x:v>本地更新：2026-10-28。官网主序列最新已核实至 2026-10-27；公众号风光最新已核实至 2026-10-27。价格单位：元/MWh。</x:v>
      </x:c>
      <x:c r="E2" s="30" t="str">
        <x:v>本地更新：2026-10-28。官网主序列最新已核实至 2026-10-27；公众号风光最新已核实至 2026-10-27。价格单位：元/MWh。</x:v>
      </x:c>
      <x:c r="F2" s="30" t="str">
        <x:v>本地更新：2026-10-28。官网主序列最新已核实至 2026-10-27；公众号风光最新已核实至 2026-10-27。价格单位：元/MWh。</x:v>
      </x:c>
      <x:c r="G2" s="30" t="str">
        <x:v>本地更新：2026-10-28。官网主序列最新已核实至 2026-10-27；公众号风光最新已核实至 2026-10-27。价格单位：元/MWh。</x:v>
      </x:c>
      <x:c r="H2" s="30" t="str">
        <x:v>本地更新：2026-10-28。官网主序列最新已核实至 2026-10-27；公众号风光最新已核实至 2026-10-27。价格单位：元/MWh。</x:v>
      </x:c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32" t="str">
        <x:v>核心结论与使用提示</x:v>
      </x:c>
      <x:c r="B4" s="32" t="str">
        <x:v>核心结论与使用提示</x:v>
      </x:c>
      <x:c r="C4" s="32" t="str">
        <x:v>核心结论与使用提示</x:v>
      </x:c>
      <x:c r="D4" s="32" t="str">
        <x:v>核心结论与使用提示</x:v>
      </x:c>
      <x:c r="E4" s="32" t="str">
        <x:v>核心结论与使用提示</x:v>
      </x:c>
      <x:c r="F4" s="32" t="str">
        <x:v>核心结论与使用提示</x:v>
      </x:c>
      <x:c r="G4" s="32" t="str">
        <x:v>核心结论与使用提示</x:v>
      </x:c>
      <x:c r="H4" s="32" t="str">
        <x:v>核心结论与使用提示</x:v>
      </x:c>
    </x:row>
    <x:row r="5">
      <x:c r="A5" s="33" t="str">
        <x:v>官网已取回日期数</x:v>
      </x:c>
      <x:c r="B5" s="34" t="n">
        <x:f>COUNTA('每日数据'!$A$2:$A$666)</x:f>
        <x:v>665</x:v>
      </x:c>
      <x:c r="C5" s="31"/>
      <x:c r="D5" s="35" t="str">
        <x:v>风光已核实截至日</x:v>
      </x:c>
      <x:c r="E5" s="36" t="n">
        <x:f>MAX('风光分项'!$A$2:$A$666)</x:f>
        <x:v>46322</x:v>
      </x:c>
      <x:c r="F5" s="31"/>
      <x:c r="G5" s="31"/>
      <x:c r="H5" s="31"/>
    </x:row>
    <x:row r="6">
      <x:c r="A6" s="33" t="str">
        <x:v>官网已取回截至日</x:v>
      </x:c>
      <x:c r="B6" s="37" t="n">
        <x:f>MAX('每日数据'!$A$2:$A$666)</x:f>
        <x:v>46322</x:v>
      </x:c>
      <x:c r="C6" s="31"/>
      <x:c r="D6" s="35" t="str">
        <x:v>风光有效披露日数</x:v>
      </x:c>
      <x:c r="E6" s="31" t="n">
        <x:v>567</x:v>
      </x:c>
      <x:c r="F6" s="31"/>
      <x:c r="G6" s="31"/>
      <x:c r="H6" s="31"/>
    </x:row>
    <x:row r="7">
      <x:c r="A7" s="33" t="str">
        <x:v>官网末日日前 / 实时</x:v>
      </x:c>
      <x:c r="B7" s="34" t="str">
        <x:f>INDEX('每日数据'!$B$2:$B$666,MATCH(B6,'每日数据'!$A$2:$A$666,0))&amp;" / "&amp;INDEX('每日数据'!$C$2:$C$666,MATCH(B6,'每日数据'!$A$2:$A$666,0))</x:f>
        <x:v>329.33 / 304.06</x:v>
      </x:c>
      <x:c r="C7" s="31"/>
      <x:c r="D7" s="35" t="str">
        <x:v>本地文件生成日</x:v>
      </x:c>
      <x:c r="E7" s="36" t="d">
        <x:v>2026-10-28T00:00:00.000Z</x:v>
      </x:c>
      <x:c r="F7" s="31"/>
      <x:c r="G7" s="31"/>
      <x:c r="H7" s="31"/>
    </x:row>
    <x:row r="8" ht="64" customHeight="1">
      <x:c r="A8" s="33" t="str">
        <x:v>网站与公众号口径</x:v>
      </x:c>
      <x:c r="B8" s="34" t="str">
        <x:v>同一交易日可能存在差异；不可静默混合</x:v>
      </x:c>
      <x:c r="C8" s="31"/>
      <x:c r="D8" s="38" t="str">
        <x:v>官网主序列、双源质量检查及工作簿验证均通过，可按发布脚本执行网站更新。</x:v>
      </x:c>
      <x:c r="E8" s="38" t="str">
        <x:v>官网主序列、双源质量检查及工作簿验证均通过，可按发布脚本执行网站更新。</x:v>
      </x:c>
      <x:c r="F8" s="38" t="str">
        <x:v>官网主序列、双源质量检查及工作簿验证均通过，可按发布脚本执行网站更新。</x:v>
      </x:c>
      <x:c r="G8" s="38" t="str">
        <x:v>官网主序列、双源质量检查及工作簿验证均通过，可按发布脚本执行网站更新。</x:v>
      </x:c>
      <x:c r="H8" s="38" t="str">
        <x:v>官网主序列、双源质量检查及工作簿验证均通过，可按发布脚本执行网站更新。</x:v>
      </x:c>
    </x:row>
    <x:row r="9" ht="60" customHeight="1">
      <x:c r="A9" s="39" t="str">
        <x:v>更新建议</x:v>
      </x:c>
      <x:c r="B9" s="40" t="str">
        <x:v>每周一北京时间10:30自动更新；各源分别保存</x:v>
      </x:c>
      <x:c r="C9" s="31"/>
      <x:c r="D9" s="38" t="str">
        <x:v>官网主序列、双源质量检查及工作簿验证均通过，可按发布脚本执行网站更新。</x:v>
      </x:c>
      <x:c r="E9" s="38" t="str">
        <x:v>官网主序列、双源质量检查及工作簿验证均通过，可按发布脚本执行网站更新。</x:v>
      </x:c>
      <x:c r="F9" s="38" t="str">
        <x:v>官网主序列、双源质量检查及工作簿验证均通过，可按发布脚本执行网站更新。</x:v>
      </x:c>
      <x:c r="G9" s="38" t="str">
        <x:v>官网主序列、双源质量检查及工作簿验证均通过，可按发布脚本执行网站更新。</x:v>
      </x:c>
      <x:c r="H9" s="38" t="str">
        <x:v>官网主序列、双源质量检查及工作簿验证均通过，可按发布脚本执行网站更新。</x:v>
      </x:c>
    </x:row>
    <x:row r="10">
      <x:c r="A10" s="31"/>
      <x:c r="B10" s="31"/>
      <x:c r="C10" s="31"/>
      <x:c r="D10" s="31"/>
      <x:c r="E10" s="31"/>
      <x:c r="F10" s="31"/>
      <x:c r="G10" s="31"/>
      <x:c r="H10" s="31"/>
    </x:row>
    <x:row r="11">
      <x:c r="A11" s="32" t="str">
        <x:v>字段解释</x:v>
      </x:c>
      <x:c r="B11" s="32" t="str">
        <x:v>字段解释</x:v>
      </x:c>
      <x:c r="C11" s="32" t="str">
        <x:v>字段解释</x:v>
      </x:c>
      <x:c r="D11" s="32" t="str">
        <x:v>字段解释</x:v>
      </x:c>
      <x:c r="E11" s="32" t="str">
        <x:v>字段解释</x:v>
      </x:c>
      <x:c r="F11" s="32" t="str">
        <x:v>字段解释</x:v>
      </x:c>
      <x:c r="G11" s="32" t="str">
        <x:v>字段解释</x:v>
      </x:c>
      <x:c r="H11" s="32" t="str">
        <x:v>字段解释</x:v>
      </x:c>
    </x:row>
    <x:row r="12" ht="30" customHeight="1">
      <x:c r="A12" s="41" t="str">
        <x:v>字段</x:v>
      </x:c>
      <x:c r="B12" s="41" t="str">
        <x:v>总体日前</x:v>
      </x:c>
      <x:c r="C12" s="41" t="str">
        <x:v>总体实时</x:v>
      </x:c>
      <x:c r="D12" s="41" t="str">
        <x:v>火电日前</x:v>
      </x:c>
      <x:c r="E12" s="41" t="str">
        <x:v>火电实时</x:v>
      </x:c>
      <x:c r="F12" s="41" t="str">
        <x:v>新能源日前</x:v>
      </x:c>
      <x:c r="G12" s="41" t="str">
        <x:v>新能源实时</x:v>
      </x:c>
      <x:c r="H12" s="41" t="str">
        <x:v>说明</x:v>
      </x:c>
    </x:row>
    <x:row r="13">
      <x:c r="A13" s="31" t="str">
        <x:v>价格</x:v>
      </x:c>
      <x:c r="B13" s="31" t="str">
        <x:v>出清加权均价</x:v>
      </x:c>
      <x:c r="C13" s="31" t="str">
        <x:v>出清加权均价</x:v>
      </x:c>
      <x:c r="D13" s="31" t="str">
        <x:v>出清加权均价</x:v>
      </x:c>
      <x:c r="E13" s="31" t="str">
        <x:v>出清加权均价</x:v>
      </x:c>
      <x:c r="F13" s="31" t="str">
        <x:v>出清加权均价</x:v>
      </x:c>
      <x:c r="G13" s="31" t="str">
        <x:v>出清加权均价</x:v>
      </x:c>
      <x:c r="H13" s="31" t="str">
        <x:v>网站当前回溯口径</x:v>
      </x:c>
    </x:row>
    <x:row r="14">
      <x:c r="A14" s="31" t="str">
        <x:v>电量</x:v>
      </x:c>
      <x:c r="B14" s="31" t="str">
        <x:v>日前出清电量</x:v>
      </x:c>
      <x:c r="C14" s="31" t="str">
        <x:v>实时出清电量</x:v>
      </x:c>
      <x:c r="D14" s="31" t="str">
        <x:v>—</x:v>
      </x:c>
      <x:c r="E14" s="31" t="str">
        <x:v>—</x:v>
      </x:c>
      <x:c r="F14" s="31" t="str">
        <x:v>—</x:v>
      </x:c>
      <x:c r="G14" s="31" t="str">
        <x:v>—</x:v>
      </x:c>
      <x:c r="H14" s="31" t="str">
        <x:v>公开总览仅提供总体电量</x:v>
      </x:c>
    </x:row>
    <x:row r="15">
      <x:c r="A15" s="31"/>
      <x:c r="B15" s="31"/>
      <x:c r="C15" s="31"/>
      <x:c r="D15" s="31"/>
      <x:c r="E15" s="31"/>
      <x:c r="F15" s="31"/>
      <x:c r="G15" s="31"/>
      <x:c r="H15" s="31"/>
    </x:row>
    <x:row r="16">
      <x:c r="A16" s="32" t="str">
        <x:v>口径差异示例（2026-10-27）</x:v>
      </x:c>
      <x:c r="B16" s="32" t="str">
        <x:v>口径差异示例（2026-10-27）</x:v>
      </x:c>
      <x:c r="C16" s="32" t="str">
        <x:v>口径差异示例（2026-10-27）</x:v>
      </x:c>
      <x:c r="D16" s="32" t="str">
        <x:v>口径差异示例（2026-10-27）</x:v>
      </x:c>
      <x:c r="E16" s="32" t="str">
        <x:v>口径差异示例（2026-10-27）</x:v>
      </x:c>
      <x:c r="F16" s="32" t="str">
        <x:v>口径差异示例（2026-10-27）</x:v>
      </x:c>
      <x:c r="G16" s="32" t="str">
        <x:v>口径差异示例（2026-10-27）</x:v>
      </x:c>
      <x:c r="H16" s="32" t="str">
        <x:v>口径差异示例（2026-10-27）</x:v>
      </x:c>
    </x:row>
    <x:row r="17" ht="30" customHeight="1">
      <x:c r="A17" s="41" t="str">
        <x:v>来源</x:v>
      </x:c>
      <x:c r="B17" s="41" t="str">
        <x:v>日前均价</x:v>
      </x:c>
      <x:c r="C17" s="41" t="str">
        <x:v>实时均价</x:v>
      </x:c>
      <x:c r="D17" s="41" t="str">
        <x:v>日前电量(万MWh)</x:v>
      </x:c>
      <x:c r="E17" s="41" t="str">
        <x:v>实时电量(万MWh)</x:v>
      </x:c>
      <x:c r="F17" s="31"/>
      <x:c r="G17" s="31"/>
      <x:c r="H17" s="31"/>
    </x:row>
    <x:row r="18">
      <x:c r="A18" s="31" t="str">
        <x:v>网站当前回溯接口</x:v>
      </x:c>
      <x:c r="B18" s="42" t="n">
        <x:v>329.33</x:v>
      </x:c>
      <x:c r="C18" s="42" t="n">
        <x:v>304.06</x:v>
      </x:c>
      <x:c r="D18" s="42" t="n">
        <x:v>189.093978</x:v>
      </x:c>
      <x:c r="E18" s="42" t="n">
        <x:v>183.981491</x:v>
      </x:c>
      <x:c r="F18" s="31"/>
      <x:c r="G18" s="31"/>
      <x:c r="H18" s="31"/>
    </x:row>
    <x:row r="19">
      <x:c r="A19" s="31" t="str">
        <x:v>公众号次日日报</x:v>
      </x:c>
      <x:c r="B19" s="42" t="n">
        <x:v>329.33</x:v>
      </x:c>
      <x:c r="C19" s="42" t="n">
        <x:v>304.06</x:v>
      </x:c>
      <x:c r="D19" s="42" t="n">
        <x:v>47.300000000000004</x:v>
      </x:c>
      <x:c r="E19" s="42" t="n">
        <x:v>46</x:v>
      </x:c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  <x:row r="21" ht="38" customHeight="1">
      <x:c r="A21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B21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C21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D21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E21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F21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G21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H21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</x:row>
    <x:row r="22" ht="38" customHeight="1">
      <x:c r="A22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B22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C22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D22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E22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F22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G22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  <x:c r="H22" s="38" t="str">
        <x:v>判断：网站为可批量回溯的当前结构化序列，公众号为发布时点快照。两者差异可能来自后续修订或汇总口径不同。主数据表采用网站结构化序列；公众号总体/火电快报单列于“官方日报快报”，另提供风光分项与交叉核验；差异不覆盖主序列。</x:v>
      </x:c>
    </x:row>
    <x:row r="23">
      <x:c r="A23" s="31"/>
      <x:c r="B23" s="31"/>
      <x:c r="C23" s="31"/>
      <x:c r="D23" s="31"/>
      <x:c r="E23" s="31"/>
      <x:c r="F23" s="31"/>
      <x:c r="G23" s="31"/>
      <x:c r="H23" s="31"/>
    </x:row>
    <x:row r="24">
      <x:c r="A24" s="32" t="str">
        <x:v>风电、光伏细分披露边界</x:v>
      </x:c>
      <x:c r="B24" s="32" t="str">
        <x:v>风电、光伏细分披露边界</x:v>
      </x:c>
      <x:c r="C24" s="32" t="str">
        <x:v>风电、光伏细分披露边界</x:v>
      </x:c>
      <x:c r="D24" s="32" t="str">
        <x:v>风电、光伏细分披露边界</x:v>
      </x:c>
      <x:c r="E24" s="32" t="str">
        <x:v>风电、光伏细分披露边界</x:v>
      </x:c>
      <x:c r="F24" s="32" t="str">
        <x:v>风电、光伏细分披露边界</x:v>
      </x:c>
      <x:c r="G24" s="32" t="str">
        <x:v>风电、光伏细分披露边界</x:v>
      </x:c>
      <x:c r="H24" s="32" t="str">
        <x:v>风电、光伏细分披露边界</x:v>
      </x:c>
    </x:row>
    <x:row r="25" ht="30" customHeight="1">
      <x:c r="A25" s="41" t="str">
        <x:v>期间</x:v>
      </x:c>
      <x:c r="B25" s="41" t="str">
        <x:v>风电日前</x:v>
      </x:c>
      <x:c r="C25" s="41" t="str">
        <x:v>风电实时</x:v>
      </x:c>
      <x:c r="D25" s="41" t="str">
        <x:v>光伏日前</x:v>
      </x:c>
      <x:c r="E25" s="41" t="str">
        <x:v>光伏实时</x:v>
      </x:c>
      <x:c r="F25" s="41" t="str">
        <x:v>分项电量</x:v>
      </x:c>
      <x:c r="G25" s="41" t="str">
        <x:v>主来源</x:v>
      </x:c>
      <x:c r="H25" s="41" t="str">
        <x:v>处理</x:v>
      </x:c>
    </x:row>
    <x:row r="26">
      <x:c r="A26" s="14" t="str">
        <x:v>2025-01-01至2025-04-05</x:v>
      </x:c>
      <x:c r="B26" s="14" t="str">
        <x:v>未披露</x:v>
      </x:c>
      <x:c r="C26" s="14" t="str">
        <x:v>未披露</x:v>
      </x:c>
      <x:c r="D26" s="14" t="str">
        <x:v>未披露</x:v>
      </x:c>
      <x:c r="E26" s="14" t="str">
        <x:v>未披露</x:v>
      </x:c>
      <x:c r="F26" s="14" t="str">
        <x:v>未披露</x:v>
      </x:c>
      <x:c r="G26" s="14" t="str">
        <x:v>网站新能源合计</x:v>
      </x:c>
      <x:c r="H26" s="14" t="str">
        <x:v>留空，不反推</x:v>
      </x:c>
    </x:row>
    <x:row r="27">
      <x:c r="A27" s="14" t="str">
        <x:v>2025-04-06至今</x:v>
      </x:c>
      <x:c r="B27" s="14" t="str">
        <x:v>加权均价</x:v>
      </x:c>
      <x:c r="C27" s="14" t="str">
        <x:v>加权均价</x:v>
      </x:c>
      <x:c r="D27" s="14" t="str">
        <x:v>加权均价</x:v>
      </x:c>
      <x:c r="E27" s="14" t="str">
        <x:v>加权均价</x:v>
      </x:c>
      <x:c r="F27" s="14" t="str">
        <x:v>2025-07-16起披露</x:v>
      </x:c>
      <x:c r="G27" s="14" t="str">
        <x:v>公众号日报图片</x:v>
      </x:c>
      <x:c r="H27" s="14" t="str">
        <x:v>OCR提取+质量校验</x:v>
      </x:c>
    </x:row>
    <x:row r="29">
      <x:c r="A29" s="7" t="str">
        <x:v>本轮保存范围与来源状态</x:v>
      </x:c>
      <x:c r="B29" s="7" t="str">
        <x:v>本轮保存范围与来源状态</x:v>
      </x:c>
      <x:c r="C29" s="7" t="str">
        <x:v>本轮保存范围与来源状态</x:v>
      </x:c>
      <x:c r="D29" s="7" t="str">
        <x:v>本轮保存范围与来源状态</x:v>
      </x:c>
      <x:c r="E29" s="7" t="str">
        <x:v>本轮保存范围与来源状态</x:v>
      </x:c>
      <x:c r="F29" s="7" t="str">
        <x:v>本轮保存范围与来源状态</x:v>
      </x:c>
      <x:c r="G29" s="7" t="str">
        <x:v>本轮保存范围与来源状态</x:v>
      </x:c>
      <x:c r="H29" s="7" t="str">
        <x:v>本轮保存范围与来源状态</x:v>
      </x:c>
    </x:row>
    <x:row r="30" ht="30" customHeight="1">
      <x:c r="A30" s="27" t="str">
        <x:v>来源</x:v>
      </x:c>
      <x:c r="B30" s="27" t="str">
        <x:v>最新已核实截至</x:v>
      </x:c>
      <x:c r="C30" s="27" t="str">
        <x:v>本轮访问状态</x:v>
      </x:c>
      <x:c r="D30" s="27" t="str">
        <x:v>新增</x:v>
      </x:c>
      <x:c r="E30" s="27" t="str">
        <x:v>修订</x:v>
      </x:c>
      <x:c r="F30" s="27" t="str">
        <x:v>远端最新确认</x:v>
      </x:c>
      <x:c r="G30" s="27" t="str">
        <x:v>未确认范围</x:v>
      </x:c>
      <x:c r="H30" s="27" t="str">
        <x:v>说明</x:v>
      </x:c>
    </x:row>
    <x:row r="31" ht="42" customHeight="1">
      <x:c r="A31" s="43" t="str">
        <x:v>官网主序列</x:v>
      </x:c>
      <x:c r="B31" s="44" t="d">
        <x:v>2026-10-27T00:00:00.000Z</x:v>
      </x:c>
      <x:c r="C31" s="43" t="str">
        <x:v>结构化接口已刷新并核验</x:v>
      </x:c>
      <x:c r="D31" s="43" t="n">
        <x:v>12</x:v>
      </x:c>
      <x:c r="E31" s="43" t="n">
        <x:v>0</x:v>
      </x:c>
      <x:c r="F31" s="45" t="str">
        <x:v>是</x:v>
      </x:c>
      <x:c r="G31" s="43" t="str">
        <x:v>已确认至最新</x:v>
      </x:c>
      <x:c r="H31" s="43" t="str">
        <x:v>总体/火电/新能源主序列；连续缺口不跳过</x:v>
      </x:c>
    </x:row>
    <x:row r="32" ht="42" customHeight="1">
      <x:c r="A32" s="43" t="str">
        <x:v>官方日报快报</x:v>
      </x:c>
      <x:c r="B32" s="44" t="d">
        <x:v>2026-10-27T00:00:00.000Z</x:v>
      </x:c>
      <x:c r="C32" s="43" t="str">
        <x:v>已归档原图重建</x:v>
      </x:c>
      <x:c r="D32" s="43" t="n">
        <x:v>12</x:v>
      </x:c>
      <x:c r="E32" s="43" t="n">
        <x:v>0</x:v>
      </x:c>
      <x:c r="F32" s="45" t="str">
        <x:v>是</x:v>
      </x:c>
      <x:c r="G32" s="43" t="str">
        <x:v>已确认至最新</x:v>
      </x:c>
      <x:c r="H32" s="43" t="str">
        <x:v>52天/312字段；新能源合计留空</x:v>
      </x:c>
    </x:row>
    <x:row r="33" ht="42" customHeight="1">
      <x:c r="A33" s="43" t="str">
        <x:v>公众号风光</x:v>
      </x:c>
      <x:c r="B33" s="44" t="d">
        <x:v>2026-10-27T00:00:00.000Z</x:v>
      </x:c>
      <x:c r="C33" s="43" t="str">
        <x:v>公开HTTP已刷新并核验</x:v>
      </x:c>
      <x:c r="D33" s="43" t="n">
        <x:v>12</x:v>
      </x:c>
      <x:c r="E33" s="43" t="n">
        <x:v>0</x:v>
      </x:c>
      <x:c r="F33" s="45" t="str">
        <x:v>是</x:v>
      </x:c>
      <x:c r="G33" s="43" t="str">
        <x:v>已确认至最新</x:v>
      </x:c>
      <x:c r="H33" s="43" t="str">
        <x:v>逐日原图、OCR、置信度与原文链接保留</x:v>
      </x:c>
    </x:row>
    <x:row r="34" ht="42" customHeight="1">
      <x:c r="A34" s="43" t="str">
        <x:v>PMOS月度</x:v>
      </x:c>
      <x:c r="B34" s="43" t="str">
        <x:v>2026-09</x:v>
      </x:c>
      <x:c r="C34" s="43" t="str">
        <x:v>站点风控拦截；未进入页面</x:v>
      </x:c>
      <x:c r="D34" s="43" t="n">
        <x:v>0</x:v>
      </x:c>
      <x:c r="E34" s="43" t="n">
        <x:v>0</x:v>
      </x:c>
      <x:c r="F34" s="45" t="str">
        <x:v>否</x:v>
      </x:c>
      <x:c r="G34" s="43" t="str">
        <x:v>2026-09后未确认</x:v>
      </x:c>
      <x:c r="H34" s="43" t="str">
        <x:v>月度独立核验，不替代逐日价格</x:v>
      </x:c>
    </x:row>
  </x:sheetData>
  <x:mergeCells>
    <x:mergeCell ref="A1:H1"/>
    <x:mergeCell ref="A2:H2"/>
    <x:mergeCell ref="A4:H4"/>
    <x:mergeCell ref="D8:H9"/>
    <x:mergeCell ref="A11:H11"/>
    <x:mergeCell ref="A16:H16"/>
    <x:mergeCell ref="A21:H22"/>
    <x:mergeCell ref="A24:H24"/>
    <x:mergeCell ref="A29:H29"/>
  </x:mergeCells>
  <x:pageMargins left="0.7" right="0.7" top="0.75" bottom="0.75" header="0.3" footer="0.3"/>
  <x:legacyDrawing xmlns:r="http://schemas.openxmlformats.org/officeDocument/2006/relationships" r:id="Ra8d2036a2dbc406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9" hidden="0" customWidth="1"/>
    <x:col min="9" max="9" width="19" hidden="0" customWidth="1"/>
    <x:col min="10" max="10" width="20" hidden="0" customWidth="1"/>
    <x:col min="11" max="11" width="20" hidden="0" customWidth="1"/>
    <x:col min="12" max="12" width="20" hidden="0" customWidth="1"/>
    <x:col min="13" max="13" width="18" hidden="0" customWidth="1"/>
    <x:col min="14" max="14" width="12" hidden="0" customWidth="1"/>
  </x:cols>
  <x:sheetData>
    <x:row r="1" ht="30" customHeight="1">
      <x:c r="A1" s="41" t="str">
        <x:v>日期</x:v>
      </x:c>
      <x:c r="B1" s="41" t="str">
        <x:v>总体日前均价</x:v>
      </x:c>
      <x:c r="C1" s="41" t="str">
        <x:v>总体实时均价</x:v>
      </x:c>
      <x:c r="D1" s="41" t="str">
        <x:v>火电日前均价</x:v>
      </x:c>
      <x:c r="E1" s="41" t="str">
        <x:v>火电实时均价</x:v>
      </x:c>
      <x:c r="F1" s="41" t="str">
        <x:v>新能源日前均价</x:v>
      </x:c>
      <x:c r="G1" s="41" t="str">
        <x:v>新能源实时均价</x:v>
      </x:c>
      <x:c r="H1" s="41" t="str">
        <x:v>日前出清电量(MWh)</x:v>
      </x:c>
      <x:c r="I1" s="41" t="str">
        <x:v>实时出清电量(MWh)</x:v>
      </x:c>
      <x:c r="J1" s="41" t="str">
        <x:v>日前-实时价差</x:v>
      </x:c>
      <x:c r="K1" s="41" t="str">
        <x:v>火电-新能源日前价差</x:v>
      </x:c>
      <x:c r="L1" s="41" t="str">
        <x:v>火电-新能源实时价差</x:v>
      </x:c>
      <x:c r="M1" s="41" t="str">
        <x:v>来源状态</x:v>
      </x:c>
      <x:c r="N1" s="41" t="str">
        <x:v>抓取日期</x:v>
      </x:c>
    </x:row>
    <x:row r="2">
      <x:c r="A2" s="36" t="d">
        <x:v>2025-01-01T00:00:00.000Z</x:v>
      </x:c>
      <x:c r="B2" s="48" t="n">
        <x:v>297.08</x:v>
      </x:c>
      <x:c r="C2" s="48" t="n">
        <x:v>275.25</x:v>
      </x:c>
      <x:c r="D2" s="48" t="n">
        <x:v>313.88</x:v>
      </x:c>
      <x:c r="E2" s="48" t="n">
        <x:v>291.83</x:v>
      </x:c>
      <x:c r="F2" s="48" t="n">
        <x:v>200.69</x:v>
      </x:c>
      <x:c r="G2" s="48" t="n">
        <x:v>188.69</x:v>
      </x:c>
      <x:c r="H2" s="49" t="n">
        <x:v>623979.83</x:v>
      </x:c>
      <x:c r="I2" s="49" t="n">
        <x:v>612120.53</x:v>
      </x:c>
      <x:c r="J2" s="48" t="n">
        <x:f>IF(COUNT(B2:C2)&lt;2,"",B2-C2)</x:f>
        <x:v>21.829999999999984</x:v>
      </x:c>
      <x:c r="K2" s="48" t="n">
        <x:f>IF(COUNT(D2,F2)&lt;2,"",D2-F2)</x:f>
        <x:v>113.19</x:v>
      </x:c>
      <x:c r="L2" s="48" t="n">
        <x:f>IF(COUNT(E2,G2)&lt;2,"",E2-G2)</x:f>
        <x:v>103.13999999999999</x:v>
      </x:c>
      <x:c r="M2" s="31" t="str">
        <x:v>网站结构化接口</x:v>
      </x:c>
      <x:c r="N2" s="36" t="d">
        <x:v>2026-10-28T14:16:22.777Z</x:v>
      </x:c>
    </x:row>
    <x:row r="3">
      <x:c r="A3" s="36" t="d">
        <x:v>2025-01-02T00:00:00.000Z</x:v>
      </x:c>
      <x:c r="B3" s="48" t="n">
        <x:v>340.28</x:v>
      </x:c>
      <x:c r="C3" s="48" t="n">
        <x:v>427.88</x:v>
      </x:c>
      <x:c r="D3" s="48" t="n">
        <x:v>356.76</x:v>
      </x:c>
      <x:c r="E3" s="48" t="n">
        <x:v>448.38</x:v>
      </x:c>
      <x:c r="F3" s="48" t="n">
        <x:v>201.19</x:v>
      </x:c>
      <x:c r="G3" s="48" t="n">
        <x:v>256.58</x:v>
      </x:c>
      <x:c r="H3" s="49" t="n">
        <x:v>623690.85</x:v>
      </x:c>
      <x:c r="I3" s="49" t="n">
        <x:v>636681.82</x:v>
      </x:c>
      <x:c r="J3" s="48" t="n">
        <x:f>IF(COUNT(B3:C3)&lt;2,"",B3-C3)</x:f>
        <x:v>-87.60000000000002</x:v>
      </x:c>
      <x:c r="K3" s="48" t="n">
        <x:f>IF(COUNT(D3,F3)&lt;2,"",D3-F3)</x:f>
        <x:v>155.57</x:v>
      </x:c>
      <x:c r="L3" s="48" t="n">
        <x:f>IF(COUNT(E3,G3)&lt;2,"",E3-G3)</x:f>
        <x:v>191.8</x:v>
      </x:c>
      <x:c r="M3" s="31" t="str">
        <x:v>网站结构化接口</x:v>
      </x:c>
      <x:c r="N3" s="36" t="d">
        <x:v>2026-10-28T14:16:22.777Z</x:v>
      </x:c>
    </x:row>
    <x:row r="4">
      <x:c r="A4" s="36" t="d">
        <x:v>2025-01-03T00:00:00.000Z</x:v>
      </x:c>
      <x:c r="B4" s="48" t="n">
        <x:v>383.92</x:v>
      </x:c>
      <x:c r="C4" s="48" t="n">
        <x:v>444.07</x:v>
      </x:c>
      <x:c r="D4" s="48" t="n">
        <x:v>393.53</x:v>
      </x:c>
      <x:c r="E4" s="48" t="n">
        <x:v>455.17</x:v>
      </x:c>
      <x:c r="F4" s="48" t="n">
        <x:v>296.07</x:v>
      </x:c>
      <x:c r="G4" s="48" t="n">
        <x:v>346.8</x:v>
      </x:c>
      <x:c r="H4" s="49" t="n">
        <x:v>658440.73</x:v>
      </x:c>
      <x:c r="I4" s="49" t="n">
        <x:v>694835.76</x:v>
      </x:c>
      <x:c r="J4" s="48" t="n">
        <x:f>IF(COUNT(B4:C4)&lt;2,"",B4-C4)</x:f>
        <x:v>-60.14999999999998</x:v>
      </x:c>
      <x:c r="K4" s="48" t="n">
        <x:f>IF(COUNT(D4,F4)&lt;2,"",D4-F4)</x:f>
        <x:v>97.45999999999998</x:v>
      </x:c>
      <x:c r="L4" s="48" t="n">
        <x:f>IF(COUNT(E4,G4)&lt;2,"",E4-G4)</x:f>
        <x:v>108.37</x:v>
      </x:c>
      <x:c r="M4" s="31" t="str">
        <x:v>网站结构化接口</x:v>
      </x:c>
      <x:c r="N4" s="36" t="d">
        <x:v>2026-10-28T14:16:22.777Z</x:v>
      </x:c>
    </x:row>
    <x:row r="5">
      <x:c r="A5" s="36" t="d">
        <x:v>2025-01-04T00:00:00.000Z</x:v>
      </x:c>
      <x:c r="B5" s="48" t="n">
        <x:v>299.56</x:v>
      </x:c>
      <x:c r="C5" s="48" t="n">
        <x:v>354.72</x:v>
      </x:c>
      <x:c r="D5" s="48" t="n">
        <x:v>319.66</x:v>
      </x:c>
      <x:c r="E5" s="48" t="n">
        <x:v>363.34</x:v>
      </x:c>
      <x:c r="F5" s="48" t="n">
        <x:v>222.53</x:v>
      </x:c>
      <x:c r="G5" s="48" t="n">
        <x:v>319.74</x:v>
      </x:c>
      <x:c r="H5" s="49" t="n">
        <x:v>585840.37</x:v>
      </x:c>
      <x:c r="I5" s="49" t="n">
        <x:v>612766.9</x:v>
      </x:c>
      <x:c r="J5" s="48" t="n">
        <x:f>IF(COUNT(B5:C5)&lt;2,"",B5-C5)</x:f>
        <x:v>-55.160000000000025</x:v>
      </x:c>
      <x:c r="K5" s="48" t="n">
        <x:f>IF(COUNT(D5,F5)&lt;2,"",D5-F5)</x:f>
        <x:v>97.13000000000002</x:v>
      </x:c>
      <x:c r="L5" s="48" t="n">
        <x:f>IF(COUNT(E5,G5)&lt;2,"",E5-G5)</x:f>
        <x:v>43.599999999999966</x:v>
      </x:c>
      <x:c r="M5" s="31" t="str">
        <x:v>网站结构化接口</x:v>
      </x:c>
      <x:c r="N5" s="36" t="d">
        <x:v>2026-10-28T14:16:22.777Z</x:v>
      </x:c>
    </x:row>
    <x:row r="6">
      <x:c r="A6" s="36" t="d">
        <x:v>2025-01-05T00:00:00.000Z</x:v>
      </x:c>
      <x:c r="B6" s="48" t="n">
        <x:v>297.98</x:v>
      </x:c>
      <x:c r="C6" s="48" t="n">
        <x:v>212.91</x:v>
      </x:c>
      <x:c r="D6" s="48" t="n">
        <x:v>316.74</x:v>
      </x:c>
      <x:c r="E6" s="48" t="n">
        <x:v>229.02</x:v>
      </x:c>
      <x:c r="F6" s="48" t="n">
        <x:v>213.09</x:v>
      </x:c>
      <x:c r="G6" s="48" t="n">
        <x:v>140.24</x:v>
      </x:c>
      <x:c r="H6" s="49" t="n">
        <x:v>587113.92</x:v>
      </x:c>
      <x:c r="I6" s="49" t="n">
        <x:v>565523.89</x:v>
      </x:c>
      <x:c r="J6" s="48" t="n">
        <x:f>IF(COUNT(B6:C6)&lt;2,"",B6-C6)</x:f>
        <x:v>85.07000000000002</x:v>
      </x:c>
      <x:c r="K6" s="48" t="n">
        <x:f>IF(COUNT(D6,F6)&lt;2,"",D6-F6)</x:f>
        <x:v>103.65</x:v>
      </x:c>
      <x:c r="L6" s="48" t="n">
        <x:f>IF(COUNT(E6,G6)&lt;2,"",E6-G6)</x:f>
        <x:v>88.78</x:v>
      </x:c>
      <x:c r="M6" s="31" t="str">
        <x:v>网站结构化接口</x:v>
      </x:c>
      <x:c r="N6" s="36" t="d">
        <x:v>2026-10-28T14:16:22.777Z</x:v>
      </x:c>
    </x:row>
    <x:row r="7">
      <x:c r="A7" s="36" t="d">
        <x:v>2025-01-06T00:00:00.000Z</x:v>
      </x:c>
      <x:c r="B7" s="48" t="n">
        <x:v>388.7</x:v>
      </x:c>
      <x:c r="C7" s="48" t="n">
        <x:v>351.58</x:v>
      </x:c>
      <x:c r="D7" s="48" t="n">
        <x:v>415.16</x:v>
      </x:c>
      <x:c r="E7" s="48" t="n">
        <x:v>370.87</x:v>
      </x:c>
      <x:c r="F7" s="48" t="n">
        <x:v>204.77</x:v>
      </x:c>
      <x:c r="G7" s="48" t="n">
        <x:v>223.53</x:v>
      </x:c>
      <x:c r="H7" s="49" t="n">
        <x:v>601349.48</x:v>
      </x:c>
      <x:c r="I7" s="49" t="n">
        <x:v>577652.95</x:v>
      </x:c>
      <x:c r="J7" s="48" t="n">
        <x:f>IF(COUNT(B7:C7)&lt;2,"",B7-C7)</x:f>
        <x:v>37.120000000000005</x:v>
      </x:c>
      <x:c r="K7" s="48" t="n">
        <x:f>IF(COUNT(D7,F7)&lt;2,"",D7-F7)</x:f>
        <x:v>210.39000000000001</x:v>
      </x:c>
      <x:c r="L7" s="48" t="n">
        <x:f>IF(COUNT(E7,G7)&lt;2,"",E7-G7)</x:f>
        <x:v>147.34</x:v>
      </x:c>
      <x:c r="M7" s="31" t="str">
        <x:v>网站结构化接口</x:v>
      </x:c>
      <x:c r="N7" s="36" t="d">
        <x:v>2026-10-28T14:16:22.777Z</x:v>
      </x:c>
    </x:row>
    <x:row r="8">
      <x:c r="A8" s="36" t="d">
        <x:v>2025-01-07T00:00:00.000Z</x:v>
      </x:c>
      <x:c r="B8" s="48" t="n">
        <x:v>356.58</x:v>
      </x:c>
      <x:c r="C8" s="48" t="n">
        <x:v>393.58</x:v>
      </x:c>
      <x:c r="D8" s="48" t="n">
        <x:v>379.3</x:v>
      </x:c>
      <x:c r="E8" s="48" t="n">
        <x:v>426.18</x:v>
      </x:c>
      <x:c r="F8" s="48" t="n">
        <x:v>217.04</x:v>
      </x:c>
      <x:c r="G8" s="48" t="n">
        <x:v>226.71</x:v>
      </x:c>
      <x:c r="H8" s="49" t="n">
        <x:v>587521.29</x:v>
      </x:c>
      <x:c r="I8" s="49" t="n">
        <x:v>612036.74</x:v>
      </x:c>
      <x:c r="J8" s="48" t="n">
        <x:f>IF(COUNT(B8:C8)&lt;2,"",B8-C8)</x:f>
        <x:v>-37</x:v>
      </x:c>
      <x:c r="K8" s="48" t="n">
        <x:f>IF(COUNT(D8,F8)&lt;2,"",D8-F8)</x:f>
        <x:v>162.26000000000002</x:v>
      </x:c>
      <x:c r="L8" s="48" t="n">
        <x:f>IF(COUNT(E8,G8)&lt;2,"",E8-G8)</x:f>
        <x:v>199.47</x:v>
      </x:c>
      <x:c r="M8" s="31" t="str">
        <x:v>网站结构化接口</x:v>
      </x:c>
      <x:c r="N8" s="36" t="d">
        <x:v>2026-10-28T14:16:22.777Z</x:v>
      </x:c>
    </x:row>
    <x:row r="9">
      <x:c r="A9" s="36" t="d">
        <x:v>2025-01-08T00:00:00.000Z</x:v>
      </x:c>
      <x:c r="B9" s="48" t="n">
        <x:v>396.47</x:v>
      </x:c>
      <x:c r="C9" s="48" t="n">
        <x:v>523.53</x:v>
      </x:c>
      <x:c r="D9" s="48" t="n">
        <x:v>428.39</x:v>
      </x:c>
      <x:c r="E9" s="48" t="n">
        <x:v>580.07</x:v>
      </x:c>
      <x:c r="F9" s="48" t="n">
        <x:v>213.38</x:v>
      </x:c>
      <x:c r="G9" s="48" t="n">
        <x:v>234.73</x:v>
      </x:c>
      <x:c r="H9" s="49" t="n">
        <x:v>615421.1</x:v>
      </x:c>
      <x:c r="I9" s="49" t="n">
        <x:v>633050.35</x:v>
      </x:c>
      <x:c r="J9" s="48" t="n">
        <x:f>IF(COUNT(B9:C9)&lt;2,"",B9-C9)</x:f>
        <x:v>-127.05999999999995</x:v>
      </x:c>
      <x:c r="K9" s="48" t="n">
        <x:f>IF(COUNT(D9,F9)&lt;2,"",D9-F9)</x:f>
        <x:v>215.01</x:v>
      </x:c>
      <x:c r="L9" s="48" t="n">
        <x:f>IF(COUNT(E9,G9)&lt;2,"",E9-G9)</x:f>
        <x:v>345.34000000000003</x:v>
      </x:c>
      <x:c r="M9" s="31" t="str">
        <x:v>网站结构化接口</x:v>
      </x:c>
      <x:c r="N9" s="36" t="d">
        <x:v>2026-10-28T14:16:22.777Z</x:v>
      </x:c>
    </x:row>
    <x:row r="10">
      <x:c r="A10" s="36" t="d">
        <x:v>2025-01-09T00:00:00.000Z</x:v>
      </x:c>
      <x:c r="B10" s="48" t="n">
        <x:v>380.94</x:v>
      </x:c>
      <x:c r="C10" s="48" t="n">
        <x:v>542</x:v>
      </x:c>
      <x:c r="D10" s="48" t="n">
        <x:v>410.15</x:v>
      </x:c>
      <x:c r="E10" s="48" t="n">
        <x:v>578.02</x:v>
      </x:c>
      <x:c r="F10" s="48" t="n">
        <x:v>160.24</x:v>
      </x:c>
      <x:c r="G10" s="48" t="n">
        <x:v>267.83</x:v>
      </x:c>
      <x:c r="H10" s="49" t="n">
        <x:v>585948.79</x:v>
      </x:c>
      <x:c r="I10" s="49" t="n">
        <x:v>615243.37</x:v>
      </x:c>
      <x:c r="J10" s="48" t="n">
        <x:f>IF(COUNT(B10:C10)&lt;2,"",B10-C10)</x:f>
        <x:v>-161.06</x:v>
      </x:c>
      <x:c r="K10" s="48" t="n">
        <x:f>IF(COUNT(D10,F10)&lt;2,"",D10-F10)</x:f>
        <x:v>249.90999999999997</x:v>
      </x:c>
      <x:c r="L10" s="48" t="n">
        <x:f>IF(COUNT(E10,G10)&lt;2,"",E10-G10)</x:f>
        <x:v>310.19</x:v>
      </x:c>
      <x:c r="M10" s="31" t="str">
        <x:v>网站结构化接口</x:v>
      </x:c>
      <x:c r="N10" s="36" t="d">
        <x:v>2026-10-28T14:16:22.777Z</x:v>
      </x:c>
    </x:row>
    <x:row r="11">
      <x:c r="A11" s="36" t="d">
        <x:v>2025-01-10T00:00:00.000Z</x:v>
      </x:c>
      <x:c r="B11" s="48" t="n">
        <x:v>376.36</x:v>
      </x:c>
      <x:c r="C11" s="48" t="n">
        <x:v>407.42</x:v>
      </x:c>
      <x:c r="D11" s="48" t="n">
        <x:v>402.68</x:v>
      </x:c>
      <x:c r="E11" s="48" t="n">
        <x:v>422.44</x:v>
      </x:c>
      <x:c r="F11" s="48" t="n">
        <x:v>288.93</x:v>
      </x:c>
      <x:c r="G11" s="48" t="n">
        <x:v>356.81</x:v>
      </x:c>
      <x:c r="H11" s="49" t="n">
        <x:v>578887.75</x:v>
      </x:c>
      <x:c r="I11" s="49" t="n">
        <x:v>592757.8</x:v>
      </x:c>
      <x:c r="J11" s="48" t="n">
        <x:f>IF(COUNT(B11:C11)&lt;2,"",B11-C11)</x:f>
        <x:v>-31.060000000000002</x:v>
      </x:c>
      <x:c r="K11" s="48" t="n">
        <x:f>IF(COUNT(D11,F11)&lt;2,"",D11-F11)</x:f>
        <x:v>113.75</x:v>
      </x:c>
      <x:c r="L11" s="48" t="n">
        <x:f>IF(COUNT(E11,G11)&lt;2,"",E11-G11)</x:f>
        <x:v>65.63</x:v>
      </x:c>
      <x:c r="M11" s="31" t="str">
        <x:v>网站结构化接口</x:v>
      </x:c>
      <x:c r="N11" s="36" t="d">
        <x:v>2026-10-28T14:16:22.777Z</x:v>
      </x:c>
    </x:row>
    <x:row r="12">
      <x:c r="A12" s="36" t="d">
        <x:v>2025-01-11T00:00:00.000Z</x:v>
      </x:c>
      <x:c r="B12" s="48" t="n">
        <x:v>274.99</x:v>
      </x:c>
      <x:c r="C12" s="48" t="n">
        <x:v>364.65</x:v>
      </x:c>
      <x:c r="D12" s="48" t="n">
        <x:v>301.22</x:v>
      </x:c>
      <x:c r="E12" s="48" t="n">
        <x:v>387.79</x:v>
      </x:c>
      <x:c r="F12" s="48" t="n">
        <x:v>210.22</x:v>
      </x:c>
      <x:c r="G12" s="48" t="n">
        <x:v>304.42</x:v>
      </x:c>
      <x:c r="H12" s="49" t="n">
        <x:v>563502.22</x:v>
      </x:c>
      <x:c r="I12" s="49" t="n">
        <x:v>581201.68</x:v>
      </x:c>
      <x:c r="J12" s="48" t="n">
        <x:f>IF(COUNT(B12:C12)&lt;2,"",B12-C12)</x:f>
        <x:v>-89.65999999999997</x:v>
      </x:c>
      <x:c r="K12" s="48" t="n">
        <x:f>IF(COUNT(D12,F12)&lt;2,"",D12-F12)</x:f>
        <x:v>91.00000000000003</x:v>
      </x:c>
      <x:c r="L12" s="48" t="n">
        <x:f>IF(COUNT(E12,G12)&lt;2,"",E12-G12)</x:f>
        <x:v>83.37</x:v>
      </x:c>
      <x:c r="M12" s="31" t="str">
        <x:v>网站结构化接口</x:v>
      </x:c>
      <x:c r="N12" s="36" t="d">
        <x:v>2026-10-28T14:16:22.777Z</x:v>
      </x:c>
    </x:row>
    <x:row r="13">
      <x:c r="A13" s="36" t="d">
        <x:v>2025-01-12T00:00:00.000Z</x:v>
      </x:c>
      <x:c r="B13" s="48" t="n">
        <x:v>340.77</x:v>
      </x:c>
      <x:c r="C13" s="48" t="n">
        <x:v>470.01</x:v>
      </x:c>
      <x:c r="D13" s="48" t="n">
        <x:v>373.08</x:v>
      </x:c>
      <x:c r="E13" s="48" t="n">
        <x:v>509.82</x:v>
      </x:c>
      <x:c r="F13" s="48" t="n">
        <x:v>226.75</x:v>
      </x:c>
      <x:c r="G13" s="48" t="n">
        <x:v>325.52</x:v>
      </x:c>
      <x:c r="H13" s="49" t="n">
        <x:v>573652.96</x:v>
      </x:c>
      <x:c r="I13" s="49" t="n">
        <x:v>577632.87</x:v>
      </x:c>
      <x:c r="J13" s="48" t="n">
        <x:f>IF(COUNT(B13:C13)&lt;2,"",B13-C13)</x:f>
        <x:v>-129.24</x:v>
      </x:c>
      <x:c r="K13" s="48" t="n">
        <x:f>IF(COUNT(D13,F13)&lt;2,"",D13-F13)</x:f>
        <x:v>146.32999999999998</x:v>
      </x:c>
      <x:c r="L13" s="48" t="n">
        <x:f>IF(COUNT(E13,G13)&lt;2,"",E13-G13)</x:f>
        <x:v>184.3</x:v>
      </x:c>
      <x:c r="M13" s="31" t="str">
        <x:v>网站结构化接口</x:v>
      </x:c>
      <x:c r="N13" s="36" t="d">
        <x:v>2026-10-28T14:16:22.777Z</x:v>
      </x:c>
    </x:row>
    <x:row r="14">
      <x:c r="A14" s="36" t="d">
        <x:v>2025-01-13T00:00:00.000Z</x:v>
      </x:c>
      <x:c r="B14" s="48" t="n">
        <x:v>395.84</x:v>
      </x:c>
      <x:c r="C14" s="48" t="n">
        <x:v>434.8</x:v>
      </x:c>
      <x:c r="D14" s="48" t="n">
        <x:v>434.22</x:v>
      </x:c>
      <x:c r="E14" s="48" t="n">
        <x:v>465.6</x:v>
      </x:c>
      <x:c r="F14" s="48" t="n">
        <x:v>275.24</x:v>
      </x:c>
      <x:c r="G14" s="48" t="n">
        <x:v>341.06</x:v>
      </x:c>
      <x:c r="H14" s="49" t="n">
        <x:v>575434.53</x:v>
      </x:c>
      <x:c r="I14" s="49" t="n">
        <x:v>589366.63</x:v>
      </x:c>
      <x:c r="J14" s="48" t="n">
        <x:f>IF(COUNT(B14:C14)&lt;2,"",B14-C14)</x:f>
        <x:v>-38.960000000000036</x:v>
      </x:c>
      <x:c r="K14" s="48" t="n">
        <x:f>IF(COUNT(D14,F14)&lt;2,"",D14-F14)</x:f>
        <x:v>158.98000000000002</x:v>
      </x:c>
      <x:c r="L14" s="48" t="n">
        <x:f>IF(COUNT(E14,G14)&lt;2,"",E14-G14)</x:f>
        <x:v>124.54000000000002</x:v>
      </x:c>
      <x:c r="M14" s="31" t="str">
        <x:v>网站结构化接口</x:v>
      </x:c>
      <x:c r="N14" s="36" t="d">
        <x:v>2026-10-28T14:16:22.777Z</x:v>
      </x:c>
    </x:row>
    <x:row r="15">
      <x:c r="A15" s="36" t="d">
        <x:v>2025-01-14T00:00:00.000Z</x:v>
      </x:c>
      <x:c r="B15" s="48" t="n">
        <x:v>372.78</x:v>
      </x:c>
      <x:c r="C15" s="48" t="n">
        <x:v>412.28</x:v>
      </x:c>
      <x:c r="D15" s="48" t="n">
        <x:v>406.64</x:v>
      </x:c>
      <x:c r="E15" s="48" t="n">
        <x:v>453.67</x:v>
      </x:c>
      <x:c r="F15" s="48" t="n">
        <x:v>263.28</x:v>
      </x:c>
      <x:c r="G15" s="48" t="n">
        <x:v>284.11</x:v>
      </x:c>
      <x:c r="H15" s="49" t="n">
        <x:v>558547.77</x:v>
      </x:c>
      <x:c r="I15" s="49" t="n">
        <x:v>564005.81</x:v>
      </x:c>
      <x:c r="J15" s="48" t="n">
        <x:f>IF(COUNT(B15:C15)&lt;2,"",B15-C15)</x:f>
        <x:v>-39.5</x:v>
      </x:c>
      <x:c r="K15" s="48" t="n">
        <x:f>IF(COUNT(D15,F15)&lt;2,"",D15-F15)</x:f>
        <x:v>143.36</x:v>
      </x:c>
      <x:c r="L15" s="48" t="n">
        <x:f>IF(COUNT(E15,G15)&lt;2,"",E15-G15)</x:f>
        <x:v>169.56</x:v>
      </x:c>
      <x:c r="M15" s="31" t="str">
        <x:v>网站结构化接口</x:v>
      </x:c>
      <x:c r="N15" s="36" t="d">
        <x:v>2026-10-28T14:16:22.777Z</x:v>
      </x:c>
    </x:row>
    <x:row r="16">
      <x:c r="A16" s="36" t="d">
        <x:v>2025-01-15T00:00:00.000Z</x:v>
      </x:c>
      <x:c r="B16" s="48" t="n">
        <x:v>414.75</x:v>
      </x:c>
      <x:c r="C16" s="48" t="n">
        <x:v>507.63</x:v>
      </x:c>
      <x:c r="D16" s="48" t="n">
        <x:v>449.22</x:v>
      </x:c>
      <x:c r="E16" s="48" t="n">
        <x:v>535.09</x:v>
      </x:c>
      <x:c r="F16" s="48" t="n">
        <x:v>218.59</x:v>
      </x:c>
      <x:c r="G16" s="48" t="n">
        <x:v>353.05</x:v>
      </x:c>
      <x:c r="H16" s="49" t="n">
        <x:v>568086.51</x:v>
      </x:c>
      <x:c r="I16" s="49" t="n">
        <x:v>591497.78</x:v>
      </x:c>
      <x:c r="J16" s="48" t="n">
        <x:f>IF(COUNT(B16:C16)&lt;2,"",B16-C16)</x:f>
        <x:v>-92.88</x:v>
      </x:c>
      <x:c r="K16" s="48" t="n">
        <x:f>IF(COUNT(D16,F16)&lt;2,"",D16-F16)</x:f>
        <x:v>230.63000000000002</x:v>
      </x:c>
      <x:c r="L16" s="48" t="n">
        <x:f>IF(COUNT(E16,G16)&lt;2,"",E16-G16)</x:f>
        <x:v>182.04000000000002</x:v>
      </x:c>
      <x:c r="M16" s="31" t="str">
        <x:v>网站结构化接口</x:v>
      </x:c>
      <x:c r="N16" s="36" t="d">
        <x:v>2026-10-28T14:16:22.777Z</x:v>
      </x:c>
    </x:row>
    <x:row r="17">
      <x:c r="A17" s="36" t="d">
        <x:v>2025-01-16T00:00:00.000Z</x:v>
      </x:c>
      <x:c r="B17" s="48" t="n">
        <x:v>372.9</x:v>
      </x:c>
      <x:c r="C17" s="48" t="n">
        <x:v>414.81</x:v>
      </x:c>
      <x:c r="D17" s="48" t="n">
        <x:v>405.17</x:v>
      </x:c>
      <x:c r="E17" s="48" t="n">
        <x:v>450.85</x:v>
      </x:c>
      <x:c r="F17" s="48" t="n">
        <x:v>212.59</x:v>
      </x:c>
      <x:c r="G17" s="48" t="n">
        <x:v>230.13</x:v>
      </x:c>
      <x:c r="H17" s="49" t="n">
        <x:v>576083.85</x:v>
      </x:c>
      <x:c r="I17" s="49" t="n">
        <x:v>577736.13</x:v>
      </x:c>
      <x:c r="J17" s="48" t="n">
        <x:f>IF(COUNT(B17:C17)&lt;2,"",B17-C17)</x:f>
        <x:v>-41.910000000000025</x:v>
      </x:c>
      <x:c r="K17" s="48" t="n">
        <x:f>IF(COUNT(D17,F17)&lt;2,"",D17-F17)</x:f>
        <x:v>192.58</x:v>
      </x:c>
      <x:c r="L17" s="48" t="n">
        <x:f>IF(COUNT(E17,G17)&lt;2,"",E17-G17)</x:f>
        <x:v>220.72000000000003</x:v>
      </x:c>
      <x:c r="M17" s="31" t="str">
        <x:v>网站结构化接口</x:v>
      </x:c>
      <x:c r="N17" s="36" t="d">
        <x:v>2026-10-28T14:16:22.777Z</x:v>
      </x:c>
    </x:row>
    <x:row r="18">
      <x:c r="A18" s="36" t="d">
        <x:v>2025-01-17T00:00:00.000Z</x:v>
      </x:c>
      <x:c r="B18" s="48" t="n">
        <x:v>362.43</x:v>
      </x:c>
      <x:c r="C18" s="48" t="n">
        <x:v>364.13</x:v>
      </x:c>
      <x:c r="D18" s="48" t="n">
        <x:v>386.47</x:v>
      </x:c>
      <x:c r="E18" s="48" t="n">
        <x:v>389.19</x:v>
      </x:c>
      <x:c r="F18" s="48" t="n">
        <x:v>259.49</x:v>
      </x:c>
      <x:c r="G18" s="48" t="n">
        <x:v>264.15</x:v>
      </x:c>
      <x:c r="H18" s="49" t="n">
        <x:v>569105.64</x:v>
      </x:c>
      <x:c r="I18" s="49" t="n">
        <x:v>567663.44</x:v>
      </x:c>
      <x:c r="J18" s="48" t="n">
        <x:f>IF(COUNT(B18:C18)&lt;2,"",B18-C18)</x:f>
        <x:v>-1.6999999999999886</x:v>
      </x:c>
      <x:c r="K18" s="48" t="n">
        <x:f>IF(COUNT(D18,F18)&lt;2,"",D18-F18)</x:f>
        <x:v>126.98000000000002</x:v>
      </x:c>
      <x:c r="L18" s="48" t="n">
        <x:f>IF(COUNT(E18,G18)&lt;2,"",E18-G18)</x:f>
        <x:v>125.04000000000002</x:v>
      </x:c>
      <x:c r="M18" s="31" t="str">
        <x:v>网站结构化接口</x:v>
      </x:c>
      <x:c r="N18" s="36" t="d">
        <x:v>2026-10-28T14:16:22.777Z</x:v>
      </x:c>
    </x:row>
    <x:row r="19">
      <x:c r="A19" s="36" t="d">
        <x:v>2025-01-18T00:00:00.000Z</x:v>
      </x:c>
      <x:c r="B19" s="48" t="n">
        <x:v>295.85</x:v>
      </x:c>
      <x:c r="C19" s="48" t="n">
        <x:v>309.92</x:v>
      </x:c>
      <x:c r="D19" s="48" t="n">
        <x:v>323.17</x:v>
      </x:c>
      <x:c r="E19" s="48" t="n">
        <x:v>339.58</x:v>
      </x:c>
      <x:c r="F19" s="48" t="n">
        <x:v>194.88</x:v>
      </x:c>
      <x:c r="G19" s="48" t="n">
        <x:v>195.92</x:v>
      </x:c>
      <x:c r="H19" s="49" t="n">
        <x:v>547875.51</x:v>
      </x:c>
      <x:c r="I19" s="49" t="n">
        <x:v>540998.76</x:v>
      </x:c>
      <x:c r="J19" s="48" t="n">
        <x:f>IF(COUNT(B19:C19)&lt;2,"",B19-C19)</x:f>
        <x:v>-14.069999999999993</x:v>
      </x:c>
      <x:c r="K19" s="48" t="n">
        <x:f>IF(COUNT(D19,F19)&lt;2,"",D19-F19)</x:f>
        <x:v>128.29000000000002</x:v>
      </x:c>
      <x:c r="L19" s="48" t="n">
        <x:f>IF(COUNT(E19,G19)&lt;2,"",E19-G19)</x:f>
        <x:v>143.66</x:v>
      </x:c>
      <x:c r="M19" s="31" t="str">
        <x:v>网站结构化接口</x:v>
      </x:c>
      <x:c r="N19" s="36" t="d">
        <x:v>2026-10-28T14:16:22.777Z</x:v>
      </x:c>
    </x:row>
    <x:row r="20">
      <x:c r="A20" s="36" t="d">
        <x:v>2025-01-19T00:00:00.000Z</x:v>
      </x:c>
      <x:c r="B20" s="48" t="n">
        <x:v>344.77</x:v>
      </x:c>
      <x:c r="C20" s="48" t="n">
        <x:v>364.1</x:v>
      </x:c>
      <x:c r="D20" s="48" t="n">
        <x:v>375.43</x:v>
      </x:c>
      <x:c r="E20" s="48" t="n">
        <x:v>391.66</x:v>
      </x:c>
      <x:c r="F20" s="48" t="n">
        <x:v>186.87</x:v>
      </x:c>
      <x:c r="G20" s="48" t="n">
        <x:v>201.72</x:v>
      </x:c>
      <x:c r="H20" s="49" t="n">
        <x:v>547882.77</x:v>
      </x:c>
      <x:c r="I20" s="49" t="n">
        <x:v>547424.34</x:v>
      </x:c>
      <x:c r="J20" s="48" t="n">
        <x:f>IF(COUNT(B20:C20)&lt;2,"",B20-C20)</x:f>
        <x:v>-19.33000000000004</x:v>
      </x:c>
      <x:c r="K20" s="48" t="n">
        <x:f>IF(COUNT(D20,F20)&lt;2,"",D20-F20)</x:f>
        <x:v>188.56</x:v>
      </x:c>
      <x:c r="L20" s="48" t="n">
        <x:f>IF(COUNT(E20,G20)&lt;2,"",E20-G20)</x:f>
        <x:v>189.94000000000003</x:v>
      </x:c>
      <x:c r="M20" s="31" t="str">
        <x:v>网站结构化接口</x:v>
      </x:c>
      <x:c r="N20" s="36" t="d">
        <x:v>2026-10-28T14:16:22.777Z</x:v>
      </x:c>
    </x:row>
    <x:row r="21">
      <x:c r="A21" s="36" t="d">
        <x:v>2025-01-20T00:00:00.000Z</x:v>
      </x:c>
      <x:c r="B21" s="48" t="n">
        <x:v>399.11</x:v>
      </x:c>
      <x:c r="C21" s="48" t="n">
        <x:v>323.2</x:v>
      </x:c>
      <x:c r="D21" s="48" t="n">
        <x:v>434.55</x:v>
      </x:c>
      <x:c r="E21" s="48" t="n">
        <x:v>344.77</x:v>
      </x:c>
      <x:c r="F21" s="48" t="n">
        <x:v>202.97</x:v>
      </x:c>
      <x:c r="G21" s="48" t="n">
        <x:v>207.35</x:v>
      </x:c>
      <x:c r="H21" s="49" t="n">
        <x:v>571358.82</x:v>
      </x:c>
      <x:c r="I21" s="49" t="n">
        <x:v>541882.75</x:v>
      </x:c>
      <x:c r="J21" s="48" t="n">
        <x:f>IF(COUNT(B21:C21)&lt;2,"",B21-C21)</x:f>
        <x:v>75.91000000000003</x:v>
      </x:c>
      <x:c r="K21" s="48" t="n">
        <x:f>IF(COUNT(D21,F21)&lt;2,"",D21-F21)</x:f>
        <x:v>231.58</x:v>
      </x:c>
      <x:c r="L21" s="48" t="n">
        <x:f>IF(COUNT(E21,G21)&lt;2,"",E21-G21)</x:f>
        <x:v>137.42</x:v>
      </x:c>
      <x:c r="M21" s="31" t="str">
        <x:v>网站结构化接口</x:v>
      </x:c>
      <x:c r="N21" s="36" t="d">
        <x:v>2026-10-28T14:16:22.777Z</x:v>
      </x:c>
    </x:row>
    <x:row r="22">
      <x:c r="A22" s="36" t="d">
        <x:v>2025-01-21T00:00:00.000Z</x:v>
      </x:c>
      <x:c r="B22" s="48" t="n">
        <x:v>297.19</x:v>
      </x:c>
      <x:c r="C22" s="48" t="n">
        <x:v>308.16</x:v>
      </x:c>
      <x:c r="D22" s="48" t="n">
        <x:v>314.98</x:v>
      </x:c>
      <x:c r="E22" s="48" t="n">
        <x:v>319.7</x:v>
      </x:c>
      <x:c r="F22" s="48" t="n">
        <x:v>175.38</x:v>
      </x:c>
      <x:c r="G22" s="48" t="n">
        <x:v>226.18</x:v>
      </x:c>
      <x:c r="H22" s="49" t="n">
        <x:v>535525.97</x:v>
      </x:c>
      <x:c r="I22" s="49" t="n">
        <x:v>538429.14</x:v>
      </x:c>
      <x:c r="J22" s="48" t="n">
        <x:f>IF(COUNT(B22:C22)&lt;2,"",B22-C22)</x:f>
        <x:v>-10.970000000000027</x:v>
      </x:c>
      <x:c r="K22" s="48" t="n">
        <x:f>IF(COUNT(D22,F22)&lt;2,"",D22-F22)</x:f>
        <x:v>139.60000000000002</x:v>
      </x:c>
      <x:c r="L22" s="48" t="n">
        <x:f>IF(COUNT(E22,G22)&lt;2,"",E22-G22)</x:f>
        <x:v>93.51999999999998</x:v>
      </x:c>
      <x:c r="M22" s="31" t="str">
        <x:v>网站结构化接口</x:v>
      </x:c>
      <x:c r="N22" s="36" t="d">
        <x:v>2026-10-28T14:16:22.777Z</x:v>
      </x:c>
    </x:row>
    <x:row r="23">
      <x:c r="A23" s="36" t="d">
        <x:v>2025-01-22T00:00:00.000Z</x:v>
      </x:c>
      <x:c r="B23" s="48" t="n">
        <x:v>316.8</x:v>
      </x:c>
      <x:c r="C23" s="48" t="n">
        <x:v>335.7</x:v>
      </x:c>
      <x:c r="D23" s="48" t="n">
        <x:v>339.44</x:v>
      </x:c>
      <x:c r="E23" s="48" t="n">
        <x:v>358.72</x:v>
      </x:c>
      <x:c r="F23" s="48" t="n">
        <x:v>159.04</x:v>
      </x:c>
      <x:c r="G23" s="48" t="n">
        <x:v>167.23</x:v>
      </x:c>
      <x:c r="H23" s="49" t="n">
        <x:v>544869.91</x:v>
      </x:c>
      <x:c r="I23" s="49" t="n">
        <x:v>545886.37</x:v>
      </x:c>
      <x:c r="J23" s="48" t="n">
        <x:f>IF(COUNT(B23:C23)&lt;2,"",B23-C23)</x:f>
        <x:v>-18.899999999999977</x:v>
      </x:c>
      <x:c r="K23" s="48" t="n">
        <x:f>IF(COUNT(D23,F23)&lt;2,"",D23-F23)</x:f>
        <x:v>180.4</x:v>
      </x:c>
      <x:c r="L23" s="48" t="n">
        <x:f>IF(COUNT(E23,G23)&lt;2,"",E23-G23)</x:f>
        <x:v>191.49000000000004</x:v>
      </x:c>
      <x:c r="M23" s="31" t="str">
        <x:v>网站结构化接口</x:v>
      </x:c>
      <x:c r="N23" s="36" t="d">
        <x:v>2026-10-28T14:16:22.777Z</x:v>
      </x:c>
    </x:row>
    <x:row r="24">
      <x:c r="A24" s="36" t="d">
        <x:v>2025-01-23T00:00:00.000Z</x:v>
      </x:c>
      <x:c r="B24" s="48" t="n">
        <x:v>340.05</x:v>
      </x:c>
      <x:c r="C24" s="48" t="n">
        <x:v>328.67</x:v>
      </x:c>
      <x:c r="D24" s="48" t="n">
        <x:v>343.25</x:v>
      </x:c>
      <x:c r="E24" s="48" t="n">
        <x:v>329.32</x:v>
      </x:c>
      <x:c r="F24" s="48" t="n">
        <x:v>322.37</x:v>
      </x:c>
      <x:c r="G24" s="48" t="n">
        <x:v>323.85</x:v>
      </x:c>
      <x:c r="H24" s="49" t="n">
        <x:v>550761.89</x:v>
      </x:c>
      <x:c r="I24" s="49" t="n">
        <x:v>490720.9</x:v>
      </x:c>
      <x:c r="J24" s="48" t="n">
        <x:f>IF(COUNT(B24:C24)&lt;2,"",B24-C24)</x:f>
        <x:v>11.379999999999995</x:v>
      </x:c>
      <x:c r="K24" s="48" t="n">
        <x:f>IF(COUNT(D24,F24)&lt;2,"",D24-F24)</x:f>
        <x:v>20.879999999999995</x:v>
      </x:c>
      <x:c r="L24" s="48" t="n">
        <x:f>IF(COUNT(E24,G24)&lt;2,"",E24-G24)</x:f>
        <x:v>5.46999999999997</x:v>
      </x:c>
      <x:c r="M24" s="31" t="str">
        <x:v>网站结构化接口</x:v>
      </x:c>
      <x:c r="N24" s="36" t="d">
        <x:v>2026-10-28T14:16:22.777Z</x:v>
      </x:c>
    </x:row>
    <x:row r="25">
      <x:c r="A25" s="36" t="d">
        <x:v>2025-01-24T00:00:00.000Z</x:v>
      </x:c>
      <x:c r="B25" s="48" t="n">
        <x:v>374.13</x:v>
      </x:c>
      <x:c r="C25" s="48" t="n">
        <x:v>282.36</x:v>
      </x:c>
      <x:c r="D25" s="48" t="n">
        <x:v>374.88</x:v>
      </x:c>
      <x:c r="E25" s="48" t="n">
        <x:v>283.43</x:v>
      </x:c>
      <x:c r="F25" s="48" t="n">
        <x:v>362.43</x:v>
      </x:c>
      <x:c r="G25" s="48" t="n">
        <x:v>266.13</x:v>
      </x:c>
      <x:c r="H25" s="49" t="n">
        <x:v>519162.17</x:v>
      </x:c>
      <x:c r="I25" s="49" t="n">
        <x:v>466213.45</x:v>
      </x:c>
      <x:c r="J25" s="48" t="n">
        <x:f>IF(COUNT(B25:C25)&lt;2,"",B25-C25)</x:f>
        <x:v>91.76999999999998</x:v>
      </x:c>
      <x:c r="K25" s="48" t="n">
        <x:f>IF(COUNT(D25,F25)&lt;2,"",D25-F25)</x:f>
        <x:v>12.449999999999989</x:v>
      </x:c>
      <x:c r="L25" s="48" t="n">
        <x:f>IF(COUNT(E25,G25)&lt;2,"",E25-G25)</x:f>
        <x:v>17.30000000000001</x:v>
      </x:c>
      <x:c r="M25" s="31" t="str">
        <x:v>网站结构化接口</x:v>
      </x:c>
      <x:c r="N25" s="36" t="d">
        <x:v>2026-10-28T14:16:22.777Z</x:v>
      </x:c>
    </x:row>
    <x:row r="26">
      <x:c r="A26" s="36" t="d">
        <x:v>2025-01-25T00:00:00.000Z</x:v>
      </x:c>
      <x:c r="B26" s="48" t="n">
        <x:v>196.19</x:v>
      </x:c>
      <x:c r="C26" s="48" t="n">
        <x:v>106.71</x:v>
      </x:c>
      <x:c r="D26" s="48" t="n">
        <x:v>197.11</x:v>
      </x:c>
      <x:c r="E26" s="48" t="n">
        <x:v>107.27</x:v>
      </x:c>
      <x:c r="F26" s="48" t="n">
        <x:v>191.24</x:v>
      </x:c>
      <x:c r="G26" s="48" t="n">
        <x:v>103.75</x:v>
      </x:c>
      <x:c r="H26" s="49" t="n">
        <x:v>467297.24</x:v>
      </x:c>
      <x:c r="I26" s="49" t="n">
        <x:v>422889.9</x:v>
      </x:c>
      <x:c r="J26" s="48" t="n">
        <x:f>IF(COUNT(B26:C26)&lt;2,"",B26-C26)</x:f>
        <x:v>89.48</x:v>
      </x:c>
      <x:c r="K26" s="48" t="n">
        <x:f>IF(COUNT(D26,F26)&lt;2,"",D26-F26)</x:f>
        <x:v>5.8700000000000045</x:v>
      </x:c>
      <x:c r="L26" s="48" t="n">
        <x:f>IF(COUNT(E26,G26)&lt;2,"",E26-G26)</x:f>
        <x:v>3.519999999999996</x:v>
      </x:c>
      <x:c r="M26" s="31" t="str">
        <x:v>网站结构化接口</x:v>
      </x:c>
      <x:c r="N26" s="36" t="d">
        <x:v>2026-10-28T14:16:22.777Z</x:v>
      </x:c>
    </x:row>
    <x:row r="27">
      <x:c r="A27" s="36" t="d">
        <x:v>2025-01-26T00:00:00.000Z</x:v>
      </x:c>
      <x:c r="B27" s="48" t="n">
        <x:v>165.29</x:v>
      </x:c>
      <x:c r="C27" s="48" t="n">
        <x:v>169.03</x:v>
      </x:c>
      <x:c r="D27" s="48" t="n">
        <x:v>180.78</x:v>
      </x:c>
      <x:c r="E27" s="48" t="n">
        <x:v>186.36</x:v>
      </x:c>
      <x:c r="F27" s="48" t="n">
        <x:v>107.25</x:v>
      </x:c>
      <x:c r="G27" s="48" t="n">
        <x:v>97.83</x:v>
      </x:c>
      <x:c r="H27" s="49" t="n">
        <x:v>455524.85</x:v>
      </x:c>
      <x:c r="I27" s="49" t="n">
        <x:v>445890.3</x:v>
      </x:c>
      <x:c r="J27" s="48" t="n">
        <x:f>IF(COUNT(B27:C27)&lt;2,"",B27-C27)</x:f>
        <x:v>-3.740000000000009</x:v>
      </x:c>
      <x:c r="K27" s="48" t="n">
        <x:f>IF(COUNT(D27,F27)&lt;2,"",D27-F27)</x:f>
        <x:v>73.53</x:v>
      </x:c>
      <x:c r="L27" s="48" t="n">
        <x:f>IF(COUNT(E27,G27)&lt;2,"",E27-G27)</x:f>
        <x:v>88.53000000000002</x:v>
      </x:c>
      <x:c r="M27" s="31" t="str">
        <x:v>网站结构化接口</x:v>
      </x:c>
      <x:c r="N27" s="36" t="d">
        <x:v>2026-10-28T14:16:22.777Z</x:v>
      </x:c>
    </x:row>
    <x:row r="28">
      <x:c r="A28" s="36" t="d">
        <x:v>2025-01-27T00:00:00.000Z</x:v>
      </x:c>
      <x:c r="B28" s="48" t="n">
        <x:v>233.62</x:v>
      </x:c>
      <x:c r="C28" s="48" t="n">
        <x:v>265.91</x:v>
      </x:c>
      <x:c r="D28" s="48" t="n">
        <x:v>249.35</x:v>
      </x:c>
      <x:c r="E28" s="48" t="n">
        <x:v>280.93</x:v>
      </x:c>
      <x:c r="F28" s="48" t="n">
        <x:v>163.83</x:v>
      </x:c>
      <x:c r="G28" s="48" t="n">
        <x:v>187.86</x:v>
      </x:c>
      <x:c r="H28" s="49" t="n">
        <x:v>416595.71</x:v>
      </x:c>
      <x:c r="I28" s="49" t="n">
        <x:v>407454.01</x:v>
      </x:c>
      <x:c r="J28" s="48" t="n">
        <x:f>IF(COUNT(B28:C28)&lt;2,"",B28-C28)</x:f>
        <x:v>-32.29000000000002</x:v>
      </x:c>
      <x:c r="K28" s="48" t="n">
        <x:f>IF(COUNT(D28,F28)&lt;2,"",D28-F28)</x:f>
        <x:v>85.51999999999998</x:v>
      </x:c>
      <x:c r="L28" s="48" t="n">
        <x:f>IF(COUNT(E28,G28)&lt;2,"",E28-G28)</x:f>
        <x:v>93.07</x:v>
      </x:c>
      <x:c r="M28" s="31" t="str">
        <x:v>网站结构化接口</x:v>
      </x:c>
      <x:c r="N28" s="36" t="d">
        <x:v>2026-10-28T14:16:22.777Z</x:v>
      </x:c>
    </x:row>
    <x:row r="29">
      <x:c r="A29" s="36" t="d">
        <x:v>2025-01-28T00:00:00.000Z</x:v>
      </x:c>
      <x:c r="B29" s="48" t="n">
        <x:v>271.29</x:v>
      </x:c>
      <x:c r="C29" s="48" t="n">
        <x:v>316.89</x:v>
      </x:c>
      <x:c r="D29" s="48" t="n">
        <x:v>284.44</x:v>
      </x:c>
      <x:c r="E29" s="48" t="n">
        <x:v>330.45</x:v>
      </x:c>
      <x:c r="F29" s="48" t="n">
        <x:v>214</x:v>
      </x:c>
      <x:c r="G29" s="48" t="n">
        <x:v>253.7</x:v>
      </x:c>
      <x:c r="H29" s="49" t="n">
        <x:v>405059.14</x:v>
      </x:c>
      <x:c r="I29" s="49" t="n">
        <x:v>411017.41</x:v>
      </x:c>
      <x:c r="J29" s="48" t="n">
        <x:f>IF(COUNT(B29:C29)&lt;2,"",B29-C29)</x:f>
        <x:v>-45.599999999999966</x:v>
      </x:c>
      <x:c r="K29" s="48" t="n">
        <x:f>IF(COUNT(D29,F29)&lt;2,"",D29-F29)</x:f>
        <x:v>70.44</x:v>
      </x:c>
      <x:c r="L29" s="48" t="n">
        <x:f>IF(COUNT(E29,G29)&lt;2,"",E29-G29)</x:f>
        <x:v>76.75</x:v>
      </x:c>
      <x:c r="M29" s="31" t="str">
        <x:v>网站结构化接口</x:v>
      </x:c>
      <x:c r="N29" s="36" t="d">
        <x:v>2026-10-28T14:16:22.777Z</x:v>
      </x:c>
    </x:row>
    <x:row r="30">
      <x:c r="A30" s="36" t="d">
        <x:v>2025-01-29T00:00:00.000Z</x:v>
      </x:c>
      <x:c r="B30" s="48" t="n">
        <x:v>223.73</x:v>
      </x:c>
      <x:c r="C30" s="48" t="n">
        <x:v>453.03</x:v>
      </x:c>
      <x:c r="D30" s="48" t="n">
        <x:v>233.06</x:v>
      </x:c>
      <x:c r="E30" s="48" t="n">
        <x:v>478.02</x:v>
      </x:c>
      <x:c r="F30" s="48" t="n">
        <x:v>177.69</x:v>
      </x:c>
      <x:c r="G30" s="48" t="n">
        <x:v>310.83</x:v>
      </x:c>
      <x:c r="H30" s="49" t="n">
        <x:v>377714.96</x:v>
      </x:c>
      <x:c r="I30" s="49" t="n">
        <x:v>421880.52</x:v>
      </x:c>
      <x:c r="J30" s="48" t="n">
        <x:f>IF(COUNT(B30:C30)&lt;2,"",B30-C30)</x:f>
        <x:v>-229.29999999999998</x:v>
      </x:c>
      <x:c r="K30" s="48" t="n">
        <x:f>IF(COUNT(D30,F30)&lt;2,"",D30-F30)</x:f>
        <x:v>55.370000000000005</x:v>
      </x:c>
      <x:c r="L30" s="48" t="n">
        <x:f>IF(COUNT(E30,G30)&lt;2,"",E30-G30)</x:f>
        <x:v>167.19</x:v>
      </x:c>
      <x:c r="M30" s="31" t="str">
        <x:v>网站结构化接口</x:v>
      </x:c>
      <x:c r="N30" s="36" t="d">
        <x:v>2026-10-28T14:16:22.777Z</x:v>
      </x:c>
    </x:row>
    <x:row r="31">
      <x:c r="A31" s="36" t="d">
        <x:v>2025-01-30T00:00:00.000Z</x:v>
      </x:c>
      <x:c r="B31" s="48" t="n">
        <x:v>315.26</x:v>
      </x:c>
      <x:c r="C31" s="48" t="n">
        <x:v>375.42</x:v>
      </x:c>
      <x:c r="D31" s="48" t="n">
        <x:v>337.17</x:v>
      </x:c>
      <x:c r="E31" s="48" t="n">
        <x:v>396.94</x:v>
      </x:c>
      <x:c r="F31" s="48" t="n">
        <x:v>169.12</x:v>
      </x:c>
      <x:c r="G31" s="48" t="n">
        <x:v>229.02</x:v>
      </x:c>
      <x:c r="H31" s="49" t="n">
        <x:v>390545.89</x:v>
      </x:c>
      <x:c r="I31" s="49" t="n">
        <x:v>407587.18</x:v>
      </x:c>
      <x:c r="J31" s="48" t="n">
        <x:f>IF(COUNT(B31:C31)&lt;2,"",B31-C31)</x:f>
        <x:v>-60.160000000000025</x:v>
      </x:c>
      <x:c r="K31" s="48" t="n">
        <x:f>IF(COUNT(D31,F31)&lt;2,"",D31-F31)</x:f>
        <x:v>168.05</x:v>
      </x:c>
      <x:c r="L31" s="48" t="n">
        <x:f>IF(COUNT(E31,G31)&lt;2,"",E31-G31)</x:f>
        <x:v>167.92</x:v>
      </x:c>
      <x:c r="M31" s="31" t="str">
        <x:v>网站结构化接口</x:v>
      </x:c>
      <x:c r="N31" s="36" t="d">
        <x:v>2026-10-28T14:16:22.777Z</x:v>
      </x:c>
    </x:row>
    <x:row r="32">
      <x:c r="A32" s="36" t="d">
        <x:v>2025-01-31T00:00:00.000Z</x:v>
      </x:c>
      <x:c r="B32" s="48" t="n">
        <x:v>390.63</x:v>
      </x:c>
      <x:c r="C32" s="48" t="n">
        <x:v>427.13</x:v>
      </x:c>
      <x:c r="D32" s="48" t="n">
        <x:v>411.22</x:v>
      </x:c>
      <x:c r="E32" s="48" t="n">
        <x:v>454.37</x:v>
      </x:c>
      <x:c r="F32" s="48" t="n">
        <x:v>173.33</x:v>
      </x:c>
      <x:c r="G32" s="48" t="n">
        <x:v>194.3</x:v>
      </x:c>
      <x:c r="H32" s="49" t="n">
        <x:v>389220.24</x:v>
      </x:c>
      <x:c r="I32" s="49" t="n">
        <x:v>408985.26</x:v>
      </x:c>
      <x:c r="J32" s="48" t="n">
        <x:f>IF(COUNT(B32:C32)&lt;2,"",B32-C32)</x:f>
        <x:v>-36.5</x:v>
      </x:c>
      <x:c r="K32" s="48" t="n">
        <x:f>IF(COUNT(D32,F32)&lt;2,"",D32-F32)</x:f>
        <x:v>237.89000000000001</x:v>
      </x:c>
      <x:c r="L32" s="48" t="n">
        <x:f>IF(COUNT(E32,G32)&lt;2,"",E32-G32)</x:f>
        <x:v>260.07</x:v>
      </x:c>
      <x:c r="M32" s="31" t="str">
        <x:v>网站结构化接口</x:v>
      </x:c>
      <x:c r="N32" s="36" t="d">
        <x:v>2026-10-28T14:16:22.777Z</x:v>
      </x:c>
    </x:row>
    <x:row r="33">
      <x:c r="A33" s="36" t="d">
        <x:v>2025-02-01T00:00:00.000Z</x:v>
      </x:c>
      <x:c r="B33" s="48" t="n">
        <x:v>318.9</x:v>
      </x:c>
      <x:c r="C33" s="48" t="n">
        <x:v>247.53</x:v>
      </x:c>
      <x:c r="D33" s="48" t="n">
        <x:v>331.65</x:v>
      </x:c>
      <x:c r="E33" s="48" t="n">
        <x:v>255.37</x:v>
      </x:c>
      <x:c r="F33" s="48" t="n">
        <x:v>223.69</x:v>
      </x:c>
      <x:c r="G33" s="48" t="n">
        <x:v>206.1</x:v>
      </x:c>
      <x:c r="H33" s="49" t="n">
        <x:v>439595.65</x:v>
      </x:c>
      <x:c r="I33" s="49" t="n">
        <x:v>427743.97</x:v>
      </x:c>
      <x:c r="J33" s="48" t="n">
        <x:f>IF(COUNT(B33:C33)&lt;2,"",B33-C33)</x:f>
        <x:v>71.36999999999998</x:v>
      </x:c>
      <x:c r="K33" s="48" t="n">
        <x:f>IF(COUNT(D33,F33)&lt;2,"",D33-F33)</x:f>
        <x:v>107.95999999999998</x:v>
      </x:c>
      <x:c r="L33" s="48" t="n">
        <x:f>IF(COUNT(E33,G33)&lt;2,"",E33-G33)</x:f>
        <x:v>49.27000000000001</x:v>
      </x:c>
      <x:c r="M33" s="31" t="str">
        <x:v>网站结构化接口</x:v>
      </x:c>
      <x:c r="N33" s="36" t="d">
        <x:v>2026-10-28T14:16:22.777Z</x:v>
      </x:c>
    </x:row>
    <x:row r="34">
      <x:c r="A34" s="36" t="d">
        <x:v>2025-02-02T00:00:00.000Z</x:v>
      </x:c>
      <x:c r="B34" s="48" t="n">
        <x:v>263.52</x:v>
      </x:c>
      <x:c r="C34" s="48" t="n">
        <x:v>172.75</x:v>
      </x:c>
      <x:c r="D34" s="48" t="n">
        <x:v>280.39</x:v>
      </x:c>
      <x:c r="E34" s="48" t="n">
        <x:v>189.11</x:v>
      </x:c>
      <x:c r="F34" s="48" t="n">
        <x:v>202.83</x:v>
      </x:c>
      <x:c r="G34" s="48" t="n">
        <x:v>121.92</x:v>
      </x:c>
      <x:c r="H34" s="49" t="n">
        <x:v>422680.87</x:v>
      </x:c>
      <x:c r="I34" s="49" t="n">
        <x:v>408676.71</x:v>
      </x:c>
      <x:c r="J34" s="48" t="n">
        <x:f>IF(COUNT(B34:C34)&lt;2,"",B34-C34)</x:f>
        <x:v>90.76999999999998</x:v>
      </x:c>
      <x:c r="K34" s="48" t="n">
        <x:f>IF(COUNT(D34,F34)&lt;2,"",D34-F34)</x:f>
        <x:v>77.55999999999997</x:v>
      </x:c>
      <x:c r="L34" s="48" t="n">
        <x:f>IF(COUNT(E34,G34)&lt;2,"",E34-G34)</x:f>
        <x:v>67.19000000000001</x:v>
      </x:c>
      <x:c r="M34" s="31" t="str">
        <x:v>网站结构化接口</x:v>
      </x:c>
      <x:c r="N34" s="36" t="d">
        <x:v>2026-10-28T14:16:22.777Z</x:v>
      </x:c>
    </x:row>
    <x:row r="35">
      <x:c r="A35" s="36" t="d">
        <x:v>2025-02-03T00:00:00.000Z</x:v>
      </x:c>
      <x:c r="B35" s="48" t="n">
        <x:v>301.01</x:v>
      </x:c>
      <x:c r="C35" s="48" t="n">
        <x:v>331.66</x:v>
      </x:c>
      <x:c r="D35" s="48" t="n">
        <x:v>325.48</x:v>
      </x:c>
      <x:c r="E35" s="48" t="n">
        <x:v>352.7</x:v>
      </x:c>
      <x:c r="F35" s="48" t="n">
        <x:v>200.62</x:v>
      </x:c>
      <x:c r="G35" s="48" t="n">
        <x:v>242.13</x:v>
      </x:c>
      <x:c r="H35" s="49" t="n">
        <x:v>407112.86</x:v>
      </x:c>
      <x:c r="I35" s="49" t="n">
        <x:v>408549.1</x:v>
      </x:c>
      <x:c r="J35" s="48" t="n">
        <x:f>IF(COUNT(B35:C35)&lt;2,"",B35-C35)</x:f>
        <x:v>-30.650000000000034</x:v>
      </x:c>
      <x:c r="K35" s="48" t="n">
        <x:f>IF(COUNT(D35,F35)&lt;2,"",D35-F35)</x:f>
        <x:v>124.86000000000001</x:v>
      </x:c>
      <x:c r="L35" s="48" t="n">
        <x:f>IF(COUNT(E35,G35)&lt;2,"",E35-G35)</x:f>
        <x:v>110.57</x:v>
      </x:c>
      <x:c r="M35" s="31" t="str">
        <x:v>网站结构化接口</x:v>
      </x:c>
      <x:c r="N35" s="36" t="d">
        <x:v>2026-10-28T14:16:22.777Z</x:v>
      </x:c>
    </x:row>
    <x:row r="36">
      <x:c r="A36" s="36" t="d">
        <x:v>2025-02-04T00:00:00.000Z</x:v>
      </x:c>
      <x:c r="B36" s="48" t="n">
        <x:v>180.55</x:v>
      </x:c>
      <x:c r="C36" s="48" t="n">
        <x:v>253.23</x:v>
      </x:c>
      <x:c r="D36" s="48" t="n">
        <x:v>192.02</x:v>
      </x:c>
      <x:c r="E36" s="48" t="n">
        <x:v>270.35</x:v>
      </x:c>
      <x:c r="F36" s="48" t="n">
        <x:v>144.99</x:v>
      </x:c>
      <x:c r="G36" s="48" t="n">
        <x:v>192.43</x:v>
      </x:c>
      <x:c r="H36" s="49" t="n">
        <x:v>417909.27</x:v>
      </x:c>
      <x:c r="I36" s="49" t="n">
        <x:v>415003.99</x:v>
      </x:c>
      <x:c r="J36" s="48" t="n">
        <x:f>IF(COUNT(B36:C36)&lt;2,"",B36-C36)</x:f>
        <x:v>-72.67999999999998</x:v>
      </x:c>
      <x:c r="K36" s="48" t="n">
        <x:f>IF(COUNT(D36,F36)&lt;2,"",D36-F36)</x:f>
        <x:v>47.03</x:v>
      </x:c>
      <x:c r="L36" s="48" t="n">
        <x:f>IF(COUNT(E36,G36)&lt;2,"",E36-G36)</x:f>
        <x:v>77.92000000000002</x:v>
      </x:c>
      <x:c r="M36" s="31" t="str">
        <x:v>网站结构化接口</x:v>
      </x:c>
      <x:c r="N36" s="36" t="d">
        <x:v>2026-10-28T14:16:22.777Z</x:v>
      </x:c>
    </x:row>
    <x:row r="37">
      <x:c r="A37" s="36" t="d">
        <x:v>2025-02-05T00:00:00.000Z</x:v>
      </x:c>
      <x:c r="B37" s="48" t="n">
        <x:v>312.6</x:v>
      </x:c>
      <x:c r="C37" s="48" t="n">
        <x:v>202.49</x:v>
      </x:c>
      <x:c r="D37" s="48" t="n">
        <x:v>339.86</x:v>
      </x:c>
      <x:c r="E37" s="48" t="n">
        <x:v>215.84</x:v>
      </x:c>
      <x:c r="F37" s="48" t="n">
        <x:v>205.65</x:v>
      </x:c>
      <x:c r="G37" s="48" t="n">
        <x:v>154.9</x:v>
      </x:c>
      <x:c r="H37" s="49" t="n">
        <x:v>433998.25</x:v>
      </x:c>
      <x:c r="I37" s="49" t="n">
        <x:v>417976.1</x:v>
      </x:c>
      <x:c r="J37" s="48" t="n">
        <x:f>IF(COUNT(B37:C37)&lt;2,"",B37-C37)</x:f>
        <x:v>110.11000000000001</x:v>
      </x:c>
      <x:c r="K37" s="48" t="n">
        <x:f>IF(COUNT(D37,F37)&lt;2,"",D37-F37)</x:f>
        <x:v>134.21</x:v>
      </x:c>
      <x:c r="L37" s="48" t="n">
        <x:f>IF(COUNT(E37,G37)&lt;2,"",E37-G37)</x:f>
        <x:v>60.94</x:v>
      </x:c>
      <x:c r="M37" s="31" t="str">
        <x:v>网站结构化接口</x:v>
      </x:c>
      <x:c r="N37" s="36" t="d">
        <x:v>2026-10-28T14:16:22.777Z</x:v>
      </x:c>
    </x:row>
    <x:row r="38">
      <x:c r="A38" s="36" t="d">
        <x:v>2025-02-06T00:00:00.000Z</x:v>
      </x:c>
      <x:c r="B38" s="48" t="n">
        <x:v>293.82</x:v>
      </x:c>
      <x:c r="C38" s="48" t="n">
        <x:v>148.92</x:v>
      </x:c>
      <x:c r="D38" s="48" t="n">
        <x:v>341.14</x:v>
      </x:c>
      <x:c r="E38" s="48" t="n">
        <x:v>164.52</x:v>
      </x:c>
      <x:c r="F38" s="48" t="n">
        <x:v>181.73</x:v>
      </x:c>
      <x:c r="G38" s="48" t="n">
        <x:v>114.34</x:v>
      </x:c>
      <x:c r="H38" s="49" t="n">
        <x:v>454478.59</x:v>
      </x:c>
      <x:c r="I38" s="49" t="n">
        <x:v>429382.48</x:v>
      </x:c>
      <x:c r="J38" s="48" t="n">
        <x:f>IF(COUNT(B38:C38)&lt;2,"",B38-C38)</x:f>
        <x:v>144.9</x:v>
      </x:c>
      <x:c r="K38" s="48" t="n">
        <x:f>IF(COUNT(D38,F38)&lt;2,"",D38-F38)</x:f>
        <x:v>159.41</x:v>
      </x:c>
      <x:c r="L38" s="48" t="n">
        <x:f>IF(COUNT(E38,G38)&lt;2,"",E38-G38)</x:f>
        <x:v>50.18000000000001</x:v>
      </x:c>
      <x:c r="M38" s="31" t="str">
        <x:v>网站结构化接口</x:v>
      </x:c>
      <x:c r="N38" s="36" t="d">
        <x:v>2026-10-28T14:16:22.777Z</x:v>
      </x:c>
    </x:row>
    <x:row r="39">
      <x:c r="A39" s="36" t="d">
        <x:v>2025-02-07T00:00:00.000Z</x:v>
      </x:c>
      <x:c r="B39" s="48" t="n">
        <x:v>311.16</x:v>
      </x:c>
      <x:c r="C39" s="48" t="n">
        <x:v>289.34</x:v>
      </x:c>
      <x:c r="D39" s="48" t="n">
        <x:v>348.91</x:v>
      </x:c>
      <x:c r="E39" s="48" t="n">
        <x:v>323.03</x:v>
      </x:c>
      <x:c r="F39" s="48" t="n">
        <x:v>158.13</x:v>
      </x:c>
      <x:c r="G39" s="48" t="n">
        <x:v>155.4</x:v>
      </x:c>
      <x:c r="H39" s="49" t="n">
        <x:v>443025.58</x:v>
      </x:c>
      <x:c r="I39" s="49" t="n">
        <x:v>425239.85</x:v>
      </x:c>
      <x:c r="J39" s="48" t="n">
        <x:f>IF(COUNT(B39:C39)&lt;2,"",B39-C39)</x:f>
        <x:v>21.82000000000005</x:v>
      </x:c>
      <x:c r="K39" s="48" t="n">
        <x:f>IF(COUNT(D39,F39)&lt;2,"",D39-F39)</x:f>
        <x:v>190.78000000000003</x:v>
      </x:c>
      <x:c r="L39" s="48" t="n">
        <x:f>IF(COUNT(E39,G39)&lt;2,"",E39-G39)</x:f>
        <x:v>167.62999999999997</x:v>
      </x:c>
      <x:c r="M39" s="31" t="str">
        <x:v>网站结构化接口</x:v>
      </x:c>
      <x:c r="N39" s="36" t="d">
        <x:v>2026-10-28T14:16:22.777Z</x:v>
      </x:c>
    </x:row>
    <x:row r="40">
      <x:c r="A40" s="36" t="d">
        <x:v>2025-02-08T00:00:00.000Z</x:v>
      </x:c>
      <x:c r="B40" s="48" t="n">
        <x:v>371.19</x:v>
      </x:c>
      <x:c r="C40" s="48" t="n">
        <x:v>398.85</x:v>
      </x:c>
      <x:c r="D40" s="48" t="n">
        <x:v>409.17</x:v>
      </x:c>
      <x:c r="E40" s="48" t="n">
        <x:v>436.79</x:v>
      </x:c>
      <x:c r="F40" s="48" t="n">
        <x:v>182.98</x:v>
      </x:c>
      <x:c r="G40" s="48" t="n">
        <x:v>199.53</x:v>
      </x:c>
      <x:c r="H40" s="49" t="n">
        <x:v>449867.71</x:v>
      </x:c>
      <x:c r="I40" s="49" t="n">
        <x:v>443382.44</x:v>
      </x:c>
      <x:c r="J40" s="48" t="n">
        <x:f>IF(COUNT(B40:C40)&lt;2,"",B40-C40)</x:f>
        <x:v>-27.660000000000025</x:v>
      </x:c>
      <x:c r="K40" s="48" t="n">
        <x:f>IF(COUNT(D40,F40)&lt;2,"",D40-F40)</x:f>
        <x:v>226.19000000000003</x:v>
      </x:c>
      <x:c r="L40" s="48" t="n">
        <x:f>IF(COUNT(E40,G40)&lt;2,"",E40-G40)</x:f>
        <x:v>237.26000000000002</x:v>
      </x:c>
      <x:c r="M40" s="31" t="str">
        <x:v>网站结构化接口</x:v>
      </x:c>
      <x:c r="N40" s="36" t="d">
        <x:v>2026-10-28T14:16:22.777Z</x:v>
      </x:c>
    </x:row>
    <x:row r="41">
      <x:c r="A41" s="36" t="d">
        <x:v>2025-02-09T00:00:00.000Z</x:v>
      </x:c>
      <x:c r="B41" s="48" t="n">
        <x:v>364.37</x:v>
      </x:c>
      <x:c r="C41" s="48" t="n">
        <x:v>282.49</x:v>
      </x:c>
      <x:c r="D41" s="48" t="n">
        <x:v>401.27</x:v>
      </x:c>
      <x:c r="E41" s="48" t="n">
        <x:v>307.36</x:v>
      </x:c>
      <x:c r="F41" s="48" t="n">
        <x:v>211.75</x:v>
      </x:c>
      <x:c r="G41" s="48" t="n">
        <x:v>178.67</x:v>
      </x:c>
      <x:c r="H41" s="49" t="n">
        <x:v>467923.65</x:v>
      </x:c>
      <x:c r="I41" s="49" t="n">
        <x:v>435184.6</x:v>
      </x:c>
      <x:c r="J41" s="48" t="n">
        <x:f>IF(COUNT(B41:C41)&lt;2,"",B41-C41)</x:f>
        <x:v>81.88</x:v>
      </x:c>
      <x:c r="K41" s="48" t="n">
        <x:f>IF(COUNT(D41,F41)&lt;2,"",D41-F41)</x:f>
        <x:v>189.51999999999998</x:v>
      </x:c>
      <x:c r="L41" s="48" t="n">
        <x:f>IF(COUNT(E41,G41)&lt;2,"",E41-G41)</x:f>
        <x:v>128.69000000000003</x:v>
      </x:c>
      <x:c r="M41" s="31" t="str">
        <x:v>网站结构化接口</x:v>
      </x:c>
      <x:c r="N41" s="36" t="d">
        <x:v>2026-10-28T14:16:22.777Z</x:v>
      </x:c>
    </x:row>
    <x:row r="42">
      <x:c r="A42" s="36" t="d">
        <x:v>2025-02-10T00:00:00.000Z</x:v>
      </x:c>
      <x:c r="B42" s="48" t="n">
        <x:v>342.07</x:v>
      </x:c>
      <x:c r="C42" s="48" t="n">
        <x:v>231.52</x:v>
      </x:c>
      <x:c r="D42" s="48" t="n">
        <x:v>384.61</x:v>
      </x:c>
      <x:c r="E42" s="48" t="n">
        <x:v>256.06</x:v>
      </x:c>
      <x:c r="F42" s="48" t="n">
        <x:v>193.59</x:v>
      </x:c>
      <x:c r="G42" s="48" t="n">
        <x:v>144.15</x:v>
      </x:c>
      <x:c r="H42" s="49" t="n">
        <x:v>460354.43</x:v>
      </x:c>
      <x:c r="I42" s="49" t="n">
        <x:v>435080.05</x:v>
      </x:c>
      <x:c r="J42" s="48" t="n">
        <x:f>IF(COUNT(B42:C42)&lt;2,"",B42-C42)</x:f>
        <x:v>110.54999999999998</x:v>
      </x:c>
      <x:c r="K42" s="48" t="n">
        <x:f>IF(COUNT(D42,F42)&lt;2,"",D42-F42)</x:f>
        <x:v>191.02</x:v>
      </x:c>
      <x:c r="L42" s="48" t="n">
        <x:f>IF(COUNT(E42,G42)&lt;2,"",E42-G42)</x:f>
        <x:v>111.91</x:v>
      </x:c>
      <x:c r="M42" s="31" t="str">
        <x:v>网站结构化接口</x:v>
      </x:c>
      <x:c r="N42" s="36" t="d">
        <x:v>2026-10-28T14:16:22.777Z</x:v>
      </x:c>
    </x:row>
    <x:row r="43">
      <x:c r="A43" s="36" t="d">
        <x:v>2025-02-11T00:00:00.000Z</x:v>
      </x:c>
      <x:c r="B43" s="48" t="n">
        <x:v>298.69</x:v>
      </x:c>
      <x:c r="C43" s="48" t="n">
        <x:v>230.98</x:v>
      </x:c>
      <x:c r="D43" s="48" t="n">
        <x:v>309.61</x:v>
      </x:c>
      <x:c r="E43" s="48" t="n">
        <x:v>240.93</x:v>
      </x:c>
      <x:c r="F43" s="48" t="n">
        <x:v>261.02</x:v>
      </x:c>
      <x:c r="G43" s="48" t="n">
        <x:v>198.85</x:v>
      </x:c>
      <x:c r="H43" s="49" t="n">
        <x:v>492131.13</x:v>
      </x:c>
      <x:c r="I43" s="49" t="n">
        <x:v>465771.14</x:v>
      </x:c>
      <x:c r="J43" s="48" t="n">
        <x:f>IF(COUNT(B43:C43)&lt;2,"",B43-C43)</x:f>
        <x:v>67.71000000000001</x:v>
      </x:c>
      <x:c r="K43" s="48" t="n">
        <x:f>IF(COUNT(D43,F43)&lt;2,"",D43-F43)</x:f>
        <x:v>48.59000000000003</x:v>
      </x:c>
      <x:c r="L43" s="48" t="n">
        <x:f>IF(COUNT(E43,G43)&lt;2,"",E43-G43)</x:f>
        <x:v>42.08000000000001</x:v>
      </x:c>
      <x:c r="M43" s="31" t="str">
        <x:v>网站结构化接口</x:v>
      </x:c>
      <x:c r="N43" s="36" t="d">
        <x:v>2026-10-28T14:16:22.777Z</x:v>
      </x:c>
    </x:row>
    <x:row r="44">
      <x:c r="A44" s="36" t="d">
        <x:v>2025-02-12T00:00:00.000Z</x:v>
      </x:c>
      <x:c r="B44" s="48" t="n">
        <x:v>195.15</x:v>
      </x:c>
      <x:c r="C44" s="48" t="n">
        <x:v>165.48</x:v>
      </x:c>
      <x:c r="D44" s="48" t="n">
        <x:v>227.84</x:v>
      </x:c>
      <x:c r="E44" s="48" t="n">
        <x:v>192.34</x:v>
      </x:c>
      <x:c r="F44" s="48" t="n">
        <x:v>93.03</x:v>
      </x:c>
      <x:c r="G44" s="48" t="n">
        <x:v>85.01</x:v>
      </x:c>
      <x:c r="H44" s="49" t="n">
        <x:v>445856.6</x:v>
      </x:c>
      <x:c r="I44" s="49" t="n">
        <x:v>426157.56</x:v>
      </x:c>
      <x:c r="J44" s="48" t="n">
        <x:f>IF(COUNT(B44:C44)&lt;2,"",B44-C44)</x:f>
        <x:v>29.670000000000016</x:v>
      </x:c>
      <x:c r="K44" s="48" t="n">
        <x:f>IF(COUNT(D44,F44)&lt;2,"",D44-F44)</x:f>
        <x:v>134.81</x:v>
      </x:c>
      <x:c r="L44" s="48" t="n">
        <x:f>IF(COUNT(E44,G44)&lt;2,"",E44-G44)</x:f>
        <x:v>107.33</x:v>
      </x:c>
      <x:c r="M44" s="31" t="str">
        <x:v>网站结构化接口</x:v>
      </x:c>
      <x:c r="N44" s="36" t="d">
        <x:v>2026-10-28T14:16:22.777Z</x:v>
      </x:c>
    </x:row>
    <x:row r="45">
      <x:c r="A45" s="36" t="d">
        <x:v>2025-02-13T00:00:00.000Z</x:v>
      </x:c>
      <x:c r="B45" s="48" t="n">
        <x:v>262.95</x:v>
      </x:c>
      <x:c r="C45" s="48" t="n">
        <x:v>254.14</x:v>
      </x:c>
      <x:c r="D45" s="48" t="n">
        <x:v>292.51</x:v>
      </x:c>
      <x:c r="E45" s="48" t="n">
        <x:v>286.84</x:v>
      </x:c>
      <x:c r="F45" s="48" t="n">
        <x:v>113.16</x:v>
      </x:c>
      <x:c r="G45" s="48" t="n">
        <x:v>101.44</x:v>
      </x:c>
      <x:c r="H45" s="49" t="n">
        <x:v>459840.99</x:v>
      </x:c>
      <x:c r="I45" s="49" t="n">
        <x:v>450391.59</x:v>
      </x:c>
      <x:c r="J45" s="48" t="n">
        <x:f>IF(COUNT(B45:C45)&lt;2,"",B45-C45)</x:f>
        <x:v>8.810000000000002</x:v>
      </x:c>
      <x:c r="K45" s="48" t="n">
        <x:f>IF(COUNT(D45,F45)&lt;2,"",D45-F45)</x:f>
        <x:v>179.35</x:v>
      </x:c>
      <x:c r="L45" s="48" t="n">
        <x:f>IF(COUNT(E45,G45)&lt;2,"",E45-G45)</x:f>
        <x:v>185.39999999999998</x:v>
      </x:c>
      <x:c r="M45" s="31" t="str">
        <x:v>网站结构化接口</x:v>
      </x:c>
      <x:c r="N45" s="36" t="d">
        <x:v>2026-10-28T14:16:22.777Z</x:v>
      </x:c>
    </x:row>
    <x:row r="46">
      <x:c r="A46" s="36" t="d">
        <x:v>2025-02-14T00:00:00.000Z</x:v>
      </x:c>
      <x:c r="B46" s="48" t="n">
        <x:v>350.23</x:v>
      </x:c>
      <x:c r="C46" s="48" t="n">
        <x:v>301.27</x:v>
      </x:c>
      <x:c r="D46" s="48" t="n">
        <x:v>381.21</x:v>
      </x:c>
      <x:c r="E46" s="48" t="n">
        <x:v>320.89</x:v>
      </x:c>
      <x:c r="F46" s="48" t="n">
        <x:v>201.03</x:v>
      </x:c>
      <x:c r="G46" s="48" t="n">
        <x:v>195.54</x:v>
      </x:c>
      <x:c r="H46" s="49" t="n">
        <x:v>471690.23</x:v>
      </x:c>
      <x:c r="I46" s="49" t="n">
        <x:v>463283.34</x:v>
      </x:c>
      <x:c r="J46" s="48" t="n">
        <x:f>IF(COUNT(B46:C46)&lt;2,"",B46-C46)</x:f>
        <x:v>48.960000000000036</x:v>
      </x:c>
      <x:c r="K46" s="48" t="n">
        <x:f>IF(COUNT(D46,F46)&lt;2,"",D46-F46)</x:f>
        <x:v>180.17999999999998</x:v>
      </x:c>
      <x:c r="L46" s="48" t="n">
        <x:f>IF(COUNT(E46,G46)&lt;2,"",E46-G46)</x:f>
        <x:v>125.35</x:v>
      </x:c>
      <x:c r="M46" s="31" t="str">
        <x:v>网站结构化接口</x:v>
      </x:c>
      <x:c r="N46" s="36" t="d">
        <x:v>2026-10-28T14:16:22.777Z</x:v>
      </x:c>
    </x:row>
    <x:row r="47">
      <x:c r="A47" s="36" t="d">
        <x:v>2025-02-15T00:00:00.000Z</x:v>
      </x:c>
      <x:c r="B47" s="48" t="n">
        <x:v>158.32</x:v>
      </x:c>
      <x:c r="C47" s="48" t="n">
        <x:v>152.09</x:v>
      </x:c>
      <x:c r="D47" s="48" t="n">
        <x:v>185.25</x:v>
      </x:c>
      <x:c r="E47" s="48" t="n">
        <x:v>173.02</x:v>
      </x:c>
      <x:c r="F47" s="48" t="n">
        <x:v>87.31</x:v>
      </x:c>
      <x:c r="G47" s="48" t="n">
        <x:v>94.88</x:v>
      </x:c>
      <x:c r="H47" s="49" t="n">
        <x:v>457242.11</x:v>
      </x:c>
      <x:c r="I47" s="49" t="n">
        <x:v>442967.05</x:v>
      </x:c>
      <x:c r="J47" s="48" t="n">
        <x:f>IF(COUNT(B47:C47)&lt;2,"",B47-C47)</x:f>
        <x:v>6.22999999999999</x:v>
      </x:c>
      <x:c r="K47" s="48" t="n">
        <x:f>IF(COUNT(D47,F47)&lt;2,"",D47-F47)</x:f>
        <x:v>97.94</x:v>
      </x:c>
      <x:c r="L47" s="48" t="n">
        <x:f>IF(COUNT(E47,G47)&lt;2,"",E47-G47)</x:f>
        <x:v>78.14000000000001</x:v>
      </x:c>
      <x:c r="M47" s="31" t="str">
        <x:v>网站结构化接口</x:v>
      </x:c>
      <x:c r="N47" s="36" t="d">
        <x:v>2026-10-28T14:16:22.777Z</x:v>
      </x:c>
    </x:row>
    <x:row r="48">
      <x:c r="A48" s="36" t="d">
        <x:v>2025-02-16T00:00:00.000Z</x:v>
      </x:c>
      <x:c r="B48" s="48" t="n">
        <x:v>271.01</x:v>
      </x:c>
      <x:c r="C48" s="48" t="n">
        <x:v>242.57</x:v>
      </x:c>
      <x:c r="D48" s="48" t="n">
        <x:v>299.91</x:v>
      </x:c>
      <x:c r="E48" s="48" t="n">
        <x:v>263.76</x:v>
      </x:c>
      <x:c r="F48" s="48" t="n">
        <x:v>136.23</x:v>
      </x:c>
      <x:c r="G48" s="48" t="n">
        <x:v>130.34</x:v>
      </x:c>
      <x:c r="H48" s="49" t="n">
        <x:v>452521.99</x:v>
      </x:c>
      <x:c r="I48" s="49" t="n">
        <x:v>428046.37</x:v>
      </x:c>
      <x:c r="J48" s="48" t="n">
        <x:f>IF(COUNT(B48:C48)&lt;2,"",B48-C48)</x:f>
        <x:v>28.439999999999998</x:v>
      </x:c>
      <x:c r="K48" s="48" t="n">
        <x:f>IF(COUNT(D48,F48)&lt;2,"",D48-F48)</x:f>
        <x:v>163.68000000000004</x:v>
      </x:c>
      <x:c r="L48" s="48" t="n">
        <x:f>IF(COUNT(E48,G48)&lt;2,"",E48-G48)</x:f>
        <x:v>133.42</x:v>
      </x:c>
      <x:c r="M48" s="31" t="str">
        <x:v>网站结构化接口</x:v>
      </x:c>
      <x:c r="N48" s="36" t="d">
        <x:v>2026-10-28T14:16:22.777Z</x:v>
      </x:c>
    </x:row>
    <x:row r="49">
      <x:c r="A49" s="36" t="d">
        <x:v>2025-02-17T00:00:00.000Z</x:v>
      </x:c>
      <x:c r="B49" s="48" t="n">
        <x:v>308.5</x:v>
      </x:c>
      <x:c r="C49" s="48" t="n">
        <x:v>212.44</x:v>
      </x:c>
      <x:c r="D49" s="48" t="n">
        <x:v>341.75</x:v>
      </x:c>
      <x:c r="E49" s="48" t="n">
        <x:v>235.7</x:v>
      </x:c>
      <x:c r="F49" s="48" t="n">
        <x:v>182.35</x:v>
      </x:c>
      <x:c r="G49" s="48" t="n">
        <x:v>115.41</x:v>
      </x:c>
      <x:c r="H49" s="49" t="n">
        <x:v>489733.69</x:v>
      </x:c>
      <x:c r="I49" s="49" t="n">
        <x:v>445043.51</x:v>
      </x:c>
      <x:c r="J49" s="48" t="n">
        <x:f>IF(COUNT(B49:C49)&lt;2,"",B49-C49)</x:f>
        <x:v>96.06</x:v>
      </x:c>
      <x:c r="K49" s="48" t="n">
        <x:f>IF(COUNT(D49,F49)&lt;2,"",D49-F49)</x:f>
        <x:v>159.4</x:v>
      </x:c>
      <x:c r="L49" s="48" t="n">
        <x:f>IF(COUNT(E49,G49)&lt;2,"",E49-G49)</x:f>
        <x:v>120.28999999999999</x:v>
      </x:c>
      <x:c r="M49" s="31" t="str">
        <x:v>网站结构化接口</x:v>
      </x:c>
      <x:c r="N49" s="36" t="d">
        <x:v>2026-10-28T14:16:22.777Z</x:v>
      </x:c>
    </x:row>
    <x:row r="50">
      <x:c r="A50" s="36" t="d">
        <x:v>2025-02-18T00:00:00.000Z</x:v>
      </x:c>
      <x:c r="B50" s="48" t="n">
        <x:v>310.77</x:v>
      </x:c>
      <x:c r="C50" s="48" t="n">
        <x:v>223.91</x:v>
      </x:c>
      <x:c r="D50" s="48" t="n">
        <x:v>334.84</x:v>
      </x:c>
      <x:c r="E50" s="48" t="n">
        <x:v>241.48</x:v>
      </x:c>
      <x:c r="F50" s="48" t="n">
        <x:v>178.89</x:v>
      </x:c>
      <x:c r="G50" s="48" t="n">
        <x:v>140.58</x:v>
      </x:c>
      <x:c r="H50" s="49" t="n">
        <x:v>474050.1</x:v>
      </x:c>
      <x:c r="I50" s="49" t="n">
        <x:v>444027.58</x:v>
      </x:c>
      <x:c r="J50" s="48" t="n">
        <x:f>IF(COUNT(B50:C50)&lt;2,"",B50-C50)</x:f>
        <x:v>86.85999999999999</x:v>
      </x:c>
      <x:c r="K50" s="48" t="n">
        <x:f>IF(COUNT(D50,F50)&lt;2,"",D50-F50)</x:f>
        <x:v>155.95</x:v>
      </x:c>
      <x:c r="L50" s="48" t="n">
        <x:f>IF(COUNT(E50,G50)&lt;2,"",E50-G50)</x:f>
        <x:v>100.89999999999998</x:v>
      </x:c>
      <x:c r="M50" s="31" t="str">
        <x:v>网站结构化接口</x:v>
      </x:c>
      <x:c r="N50" s="36" t="d">
        <x:v>2026-10-28T14:16:22.777Z</x:v>
      </x:c>
    </x:row>
    <x:row r="51">
      <x:c r="A51" s="36" t="d">
        <x:v>2025-02-19T00:00:00.000Z</x:v>
      </x:c>
      <x:c r="B51" s="48" t="n">
        <x:v>377.63</x:v>
      </x:c>
      <x:c r="C51" s="48" t="n">
        <x:v>443.17</x:v>
      </x:c>
      <x:c r="D51" s="48" t="n">
        <x:v>388.21</x:v>
      </x:c>
      <x:c r="E51" s="48" t="n">
        <x:v>443.9</x:v>
      </x:c>
      <x:c r="F51" s="48" t="n">
        <x:v>276.34</x:v>
      </x:c>
      <x:c r="G51" s="48" t="n">
        <x:v>435.65</x:v>
      </x:c>
      <x:c r="H51" s="49" t="n">
        <x:v>470633.13</x:v>
      </x:c>
      <x:c r="I51" s="49" t="n">
        <x:v>502691</x:v>
      </x:c>
      <x:c r="J51" s="48" t="n">
        <x:f>IF(COUNT(B51:C51)&lt;2,"",B51-C51)</x:f>
        <x:v>-65.54000000000002</x:v>
      </x:c>
      <x:c r="K51" s="48" t="n">
        <x:f>IF(COUNT(D51,F51)&lt;2,"",D51-F51)</x:f>
        <x:v>111.87</x:v>
      </x:c>
      <x:c r="L51" s="48" t="n">
        <x:f>IF(COUNT(E51,G51)&lt;2,"",E51-G51)</x:f>
        <x:v>8.25</x:v>
      </x:c>
      <x:c r="M51" s="31" t="str">
        <x:v>网站结构化接口</x:v>
      </x:c>
      <x:c r="N51" s="36" t="d">
        <x:v>2026-10-28T14:16:22.777Z</x:v>
      </x:c>
    </x:row>
    <x:row r="52">
      <x:c r="A52" s="36" t="d">
        <x:v>2025-02-20T00:00:00.000Z</x:v>
      </x:c>
      <x:c r="B52" s="48" t="n">
        <x:v>362.15</x:v>
      </x:c>
      <x:c r="C52" s="48" t="n">
        <x:v>444.74</x:v>
      </x:c>
      <x:c r="D52" s="48" t="n">
        <x:v>377.92</x:v>
      </x:c>
      <x:c r="E52" s="48" t="n">
        <x:v>448.24</x:v>
      </x:c>
      <x:c r="F52" s="48" t="n">
        <x:v>216.91</x:v>
      </x:c>
      <x:c r="G52" s="48" t="n">
        <x:v>407.91</x:v>
      </x:c>
      <x:c r="H52" s="49" t="n">
        <x:v>490715.02</x:v>
      </x:c>
      <x:c r="I52" s="49" t="n">
        <x:v>517570.94</x:v>
      </x:c>
      <x:c r="J52" s="48" t="n">
        <x:f>IF(COUNT(B52:C52)&lt;2,"",B52-C52)</x:f>
        <x:v>-82.59000000000003</x:v>
      </x:c>
      <x:c r="K52" s="48" t="n">
        <x:f>IF(COUNT(D52,F52)&lt;2,"",D52-F52)</x:f>
        <x:v>161.01000000000002</x:v>
      </x:c>
      <x:c r="L52" s="48" t="n">
        <x:f>IF(COUNT(E52,G52)&lt;2,"",E52-G52)</x:f>
        <x:v>40.329999999999984</x:v>
      </x:c>
      <x:c r="M52" s="31" t="str">
        <x:v>网站结构化接口</x:v>
      </x:c>
      <x:c r="N52" s="36" t="d">
        <x:v>2026-10-28T14:16:22.777Z</x:v>
      </x:c>
    </x:row>
    <x:row r="53">
      <x:c r="A53" s="36" t="d">
        <x:v>2025-02-21T00:00:00.000Z</x:v>
      </x:c>
      <x:c r="B53" s="48" t="n">
        <x:v>370.76</x:v>
      </x:c>
      <x:c r="C53" s="48" t="n">
        <x:v>381.43</x:v>
      </x:c>
      <x:c r="D53" s="48" t="n">
        <x:v>389.4</x:v>
      </x:c>
      <x:c r="E53" s="48" t="n">
        <x:v>386.23</x:v>
      </x:c>
      <x:c r="F53" s="48" t="n">
        <x:v>254.46</x:v>
      </x:c>
      <x:c r="G53" s="48" t="n">
        <x:v>348.27</x:v>
      </x:c>
      <x:c r="H53" s="49" t="n">
        <x:v>503808.86</x:v>
      </x:c>
      <x:c r="I53" s="49" t="n">
        <x:v>503439.3</x:v>
      </x:c>
      <x:c r="J53" s="48" t="n">
        <x:f>IF(COUNT(B53:C53)&lt;2,"",B53-C53)</x:f>
        <x:v>-10.670000000000016</x:v>
      </x:c>
      <x:c r="K53" s="48" t="n">
        <x:f>IF(COUNT(D53,F53)&lt;2,"",D53-F53)</x:f>
        <x:v>134.93999999999997</x:v>
      </x:c>
      <x:c r="L53" s="48" t="n">
        <x:f>IF(COUNT(E53,G53)&lt;2,"",E53-G53)</x:f>
        <x:v>37.960000000000036</x:v>
      </x:c>
      <x:c r="M53" s="31" t="str">
        <x:v>网站结构化接口</x:v>
      </x:c>
      <x:c r="N53" s="36" t="d">
        <x:v>2026-10-28T14:16:22.777Z</x:v>
      </x:c>
    </x:row>
    <x:row r="54">
      <x:c r="A54" s="36" t="d">
        <x:v>2025-02-22T00:00:00.000Z</x:v>
      </x:c>
      <x:c r="B54" s="48" t="n">
        <x:v>268.08</x:v>
      </x:c>
      <x:c r="C54" s="48" t="n">
        <x:v>246.8</x:v>
      </x:c>
      <x:c r="D54" s="48" t="n">
        <x:v>284.46</x:v>
      </x:c>
      <x:c r="E54" s="48" t="n">
        <x:v>261.77</x:v>
      </x:c>
      <x:c r="F54" s="48" t="n">
        <x:v>188.74</x:v>
      </x:c>
      <x:c r="G54" s="48" t="n">
        <x:v>177.99</x:v>
      </x:c>
      <x:c r="H54" s="49" t="n">
        <x:v>483219</x:v>
      </x:c>
      <x:c r="I54" s="49" t="n">
        <x:v>471004.36</x:v>
      </x:c>
      <x:c r="J54" s="48" t="n">
        <x:f>IF(COUNT(B54:C54)&lt;2,"",B54-C54)</x:f>
        <x:v>21.279999999999973</x:v>
      </x:c>
      <x:c r="K54" s="48" t="n">
        <x:f>IF(COUNT(D54,F54)&lt;2,"",D54-F54)</x:f>
        <x:v>95.71999999999997</x:v>
      </x:c>
      <x:c r="L54" s="48" t="n">
        <x:f>IF(COUNT(E54,G54)&lt;2,"",E54-G54)</x:f>
        <x:v>83.77999999999997</x:v>
      </x:c>
      <x:c r="M54" s="31" t="str">
        <x:v>网站结构化接口</x:v>
      </x:c>
      <x:c r="N54" s="36" t="d">
        <x:v>2026-10-28T14:16:22.777Z</x:v>
      </x:c>
    </x:row>
    <x:row r="55">
      <x:c r="A55" s="36" t="d">
        <x:v>2025-02-23T00:00:00.000Z</x:v>
      </x:c>
      <x:c r="B55" s="48" t="n">
        <x:v>291.19</x:v>
      </x:c>
      <x:c r="C55" s="48" t="n">
        <x:v>294.06</x:v>
      </x:c>
      <x:c r="D55" s="48" t="n">
        <x:v>318.53</x:v>
      </x:c>
      <x:c r="E55" s="48" t="n">
        <x:v>315.19</x:v>
      </x:c>
      <x:c r="F55" s="48" t="n">
        <x:v>144.35</x:v>
      </x:c>
      <x:c r="G55" s="48" t="n">
        <x:v>156.63</x:v>
      </x:c>
      <x:c r="H55" s="49" t="n">
        <x:v>468840.98</x:v>
      </x:c>
      <x:c r="I55" s="49" t="n">
        <x:v>447898.75</x:v>
      </x:c>
      <x:c r="J55" s="48" t="n">
        <x:f>IF(COUNT(B55:C55)&lt;2,"",B55-C55)</x:f>
        <x:v>-2.8700000000000045</x:v>
      </x:c>
      <x:c r="K55" s="48" t="n">
        <x:f>IF(COUNT(D55,F55)&lt;2,"",D55-F55)</x:f>
        <x:v>174.17999999999998</x:v>
      </x:c>
      <x:c r="L55" s="48" t="n">
        <x:f>IF(COUNT(E55,G55)&lt;2,"",E55-G55)</x:f>
        <x:v>158.56</x:v>
      </x:c>
      <x:c r="M55" s="31" t="str">
        <x:v>网站结构化接口</x:v>
      </x:c>
      <x:c r="N55" s="36" t="d">
        <x:v>2026-10-28T14:16:22.777Z</x:v>
      </x:c>
    </x:row>
    <x:row r="56">
      <x:c r="A56" s="36" t="d">
        <x:v>2025-02-24T00:00:00.000Z</x:v>
      </x:c>
      <x:c r="B56" s="48" t="n">
        <x:v>278.17</x:v>
      </x:c>
      <x:c r="C56" s="48" t="n">
        <x:v>287.02</x:v>
      </x:c>
      <x:c r="D56" s="48" t="n">
        <x:v>301.21</x:v>
      </x:c>
      <x:c r="E56" s="48" t="n">
        <x:v>306.03</x:v>
      </x:c>
      <x:c r="F56" s="48" t="n">
        <x:v>175.71</x:v>
      </x:c>
      <x:c r="G56" s="48" t="n">
        <x:v>200.48</x:v>
      </x:c>
      <x:c r="H56" s="49" t="n">
        <x:v>494826.68</x:v>
      </x:c>
      <x:c r="I56" s="49" t="n">
        <x:v>490837.31</x:v>
      </x:c>
      <x:c r="J56" s="48" t="n">
        <x:f>IF(COUNT(B56:C56)&lt;2,"",B56-C56)</x:f>
        <x:v>-8.849999999999966</x:v>
      </x:c>
      <x:c r="K56" s="48" t="n">
        <x:f>IF(COUNT(D56,F56)&lt;2,"",D56-F56)</x:f>
        <x:v>125.49999999999997</x:v>
      </x:c>
      <x:c r="L56" s="48" t="n">
        <x:f>IF(COUNT(E56,G56)&lt;2,"",E56-G56)</x:f>
        <x:v>105.54999999999998</x:v>
      </x:c>
      <x:c r="M56" s="31" t="str">
        <x:v>网站结构化接口</x:v>
      </x:c>
      <x:c r="N56" s="36" t="d">
        <x:v>2026-10-28T14:16:22.777Z</x:v>
      </x:c>
    </x:row>
    <x:row r="57">
      <x:c r="A57" s="36" t="d">
        <x:v>2025-02-25T00:00:00.000Z</x:v>
      </x:c>
      <x:c r="B57" s="48" t="n">
        <x:v>244.15</x:v>
      </x:c>
      <x:c r="C57" s="48" t="n">
        <x:v>189.28</x:v>
      </x:c>
      <x:c r="D57" s="48" t="n">
        <x:v>273.29</x:v>
      </x:c>
      <x:c r="E57" s="48" t="n">
        <x:v>208.66</x:v>
      </x:c>
      <x:c r="F57" s="48" t="n">
        <x:v>128.62</x:v>
      </x:c>
      <x:c r="G57" s="48" t="n">
        <x:v>101.71</x:v>
      </x:c>
      <x:c r="H57" s="49" t="n">
        <x:v>468047.92</x:v>
      </x:c>
      <x:c r="I57" s="49" t="n">
        <x:v>428336.46</x:v>
      </x:c>
      <x:c r="J57" s="48" t="n">
        <x:f>IF(COUNT(B57:C57)&lt;2,"",B57-C57)</x:f>
        <x:v>54.870000000000005</x:v>
      </x:c>
      <x:c r="K57" s="48" t="n">
        <x:f>IF(COUNT(D57,F57)&lt;2,"",D57-F57)</x:f>
        <x:v>144.67000000000002</x:v>
      </x:c>
      <x:c r="L57" s="48" t="n">
        <x:f>IF(COUNT(E57,G57)&lt;2,"",E57-G57)</x:f>
        <x:v>106.95</x:v>
      </x:c>
      <x:c r="M57" s="31" t="str">
        <x:v>网站结构化接口</x:v>
      </x:c>
      <x:c r="N57" s="36" t="d">
        <x:v>2026-10-28T14:16:22.777Z</x:v>
      </x:c>
    </x:row>
    <x:row r="58">
      <x:c r="A58" s="36" t="d">
        <x:v>2025-02-26T00:00:00.000Z</x:v>
      </x:c>
      <x:c r="B58" s="48" t="n">
        <x:v>312.64</x:v>
      </x:c>
      <x:c r="C58" s="48" t="n">
        <x:v>225.5</x:v>
      </x:c>
      <x:c r="D58" s="48" t="n">
        <x:v>356.19</x:v>
      </x:c>
      <x:c r="E58" s="48" t="n">
        <x:v>252.95</x:v>
      </x:c>
      <x:c r="F58" s="48" t="n">
        <x:v>137.22</x:v>
      </x:c>
      <x:c r="G58" s="48" t="n">
        <x:v>112.57</x:v>
      </x:c>
      <x:c r="H58" s="49" t="n">
        <x:v>462105.69</x:v>
      </x:c>
      <x:c r="I58" s="49" t="n">
        <x:v>427234.78</x:v>
      </x:c>
      <x:c r="J58" s="48" t="n">
        <x:f>IF(COUNT(B58:C58)&lt;2,"",B58-C58)</x:f>
        <x:v>87.13999999999999</x:v>
      </x:c>
      <x:c r="K58" s="48" t="n">
        <x:f>IF(COUNT(D58,F58)&lt;2,"",D58-F58)</x:f>
        <x:v>218.97</x:v>
      </x:c>
      <x:c r="L58" s="48" t="n">
        <x:f>IF(COUNT(E58,G58)&lt;2,"",E58-G58)</x:f>
        <x:v>140.38</x:v>
      </x:c>
      <x:c r="M58" s="31" t="str">
        <x:v>网站结构化接口</x:v>
      </x:c>
      <x:c r="N58" s="36" t="d">
        <x:v>2026-10-28T14:16:22.777Z</x:v>
      </x:c>
    </x:row>
    <x:row r="59">
      <x:c r="A59" s="36" t="d">
        <x:v>2025-02-27T00:00:00.000Z</x:v>
      </x:c>
      <x:c r="B59" s="48" t="n">
        <x:v>376.01</x:v>
      </x:c>
      <x:c r="C59" s="48" t="n">
        <x:v>206.34</x:v>
      </x:c>
      <x:c r="D59" s="48" t="n">
        <x:v>420.06</x:v>
      </x:c>
      <x:c r="E59" s="48" t="n">
        <x:v>222.97</x:v>
      </x:c>
      <x:c r="F59" s="48" t="n">
        <x:v>131.3</x:v>
      </x:c>
      <x:c r="G59" s="48" t="n">
        <x:v>111.21</x:v>
      </x:c>
      <x:c r="H59" s="49" t="n">
        <x:v>463670.41</x:v>
      </x:c>
      <x:c r="I59" s="49" t="n">
        <x:v>431333.19</x:v>
      </x:c>
      <x:c r="J59" s="48" t="n">
        <x:f>IF(COUNT(B59:C59)&lt;2,"",B59-C59)</x:f>
        <x:v>169.67</x:v>
      </x:c>
      <x:c r="K59" s="48" t="n">
        <x:f>IF(COUNT(D59,F59)&lt;2,"",D59-F59)</x:f>
        <x:v>288.76</x:v>
      </x:c>
      <x:c r="L59" s="48" t="n">
        <x:f>IF(COUNT(E59,G59)&lt;2,"",E59-G59)</x:f>
        <x:v>111.76</x:v>
      </x:c>
      <x:c r="M59" s="31" t="str">
        <x:v>网站结构化接口</x:v>
      </x:c>
      <x:c r="N59" s="36" t="d">
        <x:v>2026-10-28T14:16:22.777Z</x:v>
      </x:c>
    </x:row>
    <x:row r="60">
      <x:c r="A60" s="36" t="d">
        <x:v>2025-02-28T00:00:00.000Z</x:v>
      </x:c>
      <x:c r="B60" s="48" t="n">
        <x:v>316.99</x:v>
      </x:c>
      <x:c r="C60" s="48" t="n">
        <x:v>240.03</x:v>
      </x:c>
      <x:c r="D60" s="48" t="n">
        <x:v>355.59</x:v>
      </x:c>
      <x:c r="E60" s="48" t="n">
        <x:v>265.52</x:v>
      </x:c>
      <x:c r="F60" s="48" t="n">
        <x:v>175.97</x:v>
      </x:c>
      <x:c r="G60" s="48" t="n">
        <x:v>140.65</x:v>
      </x:c>
      <x:c r="H60" s="49" t="n">
        <x:v>464581.86</x:v>
      </x:c>
      <x:c r="I60" s="49" t="n">
        <x:v>425266.98</x:v>
      </x:c>
      <x:c r="J60" s="48" t="n">
        <x:f>IF(COUNT(B60:C60)&lt;2,"",B60-C60)</x:f>
        <x:v>76.96000000000001</x:v>
      </x:c>
      <x:c r="K60" s="48" t="n">
        <x:f>IF(COUNT(D60,F60)&lt;2,"",D60-F60)</x:f>
        <x:v>179.61999999999998</x:v>
      </x:c>
      <x:c r="L60" s="48" t="n">
        <x:f>IF(COUNT(E60,G60)&lt;2,"",E60-G60)</x:f>
        <x:v>124.86999999999998</x:v>
      </x:c>
      <x:c r="M60" s="31" t="str">
        <x:v>网站结构化接口</x:v>
      </x:c>
      <x:c r="N60" s="36" t="d">
        <x:v>2026-10-28T14:16:22.777Z</x:v>
      </x:c>
    </x:row>
    <x:row r="61">
      <x:c r="A61" s="36" t="d">
        <x:v>2025-03-01T00:00:00.000Z</x:v>
      </x:c>
      <x:c r="B61" s="48" t="n">
        <x:v>309.56</x:v>
      </x:c>
      <x:c r="C61" s="48" t="n">
        <x:v>284.11</x:v>
      </x:c>
      <x:c r="D61" s="48" t="n">
        <x:v>331.21</x:v>
      </x:c>
      <x:c r="E61" s="48" t="n">
        <x:v>308.09</x:v>
      </x:c>
      <x:c r="F61" s="48" t="n">
        <x:v>223.2</x:v>
      </x:c>
      <x:c r="G61" s="48" t="n">
        <x:v>192.71</x:v>
      </x:c>
      <x:c r="H61" s="49" t="n">
        <x:v>457321.21</x:v>
      </x:c>
      <x:c r="I61" s="49" t="n">
        <x:v>436154.66</x:v>
      </x:c>
      <x:c r="J61" s="48" t="n">
        <x:f>IF(COUNT(B61:C61)&lt;2,"",B61-C61)</x:f>
        <x:v>25.44999999999999</x:v>
      </x:c>
      <x:c r="K61" s="48" t="n">
        <x:f>IF(COUNT(D61,F61)&lt;2,"",D61-F61)</x:f>
        <x:v>108.00999999999999</x:v>
      </x:c>
      <x:c r="L61" s="48" t="n">
        <x:f>IF(COUNT(E61,G61)&lt;2,"",E61-G61)</x:f>
        <x:v>115.37999999999997</x:v>
      </x:c>
      <x:c r="M61" s="31" t="str">
        <x:v>网站结构化接口</x:v>
      </x:c>
      <x:c r="N61" s="36" t="d">
        <x:v>2026-10-28T14:16:22.777Z</x:v>
      </x:c>
    </x:row>
    <x:row r="62">
      <x:c r="A62" s="36" t="d">
        <x:v>2025-03-02T00:00:00.000Z</x:v>
      </x:c>
      <x:c r="B62" s="48" t="n">
        <x:v>363.61</x:v>
      </x:c>
      <x:c r="C62" s="48" t="n">
        <x:v>306.54</x:v>
      </x:c>
      <x:c r="D62" s="48" t="n">
        <x:v>365.41</x:v>
      </x:c>
      <x:c r="E62" s="48" t="n">
        <x:v>314.78</x:v>
      </x:c>
      <x:c r="F62" s="48" t="n">
        <x:v>353.06</x:v>
      </x:c>
      <x:c r="G62" s="48" t="n">
        <x:v>262.42</x:v>
      </x:c>
      <x:c r="H62" s="49" t="n">
        <x:v>510754.06</x:v>
      </x:c>
      <x:c r="I62" s="49" t="n">
        <x:v>462496.27</x:v>
      </x:c>
      <x:c r="J62" s="48" t="n">
        <x:f>IF(COUNT(B62:C62)&lt;2,"",B62-C62)</x:f>
        <x:v>57.06999999999999</x:v>
      </x:c>
      <x:c r="K62" s="48" t="n">
        <x:f>IF(COUNT(D62,F62)&lt;2,"",D62-F62)</x:f>
        <x:v>12.350000000000023</x:v>
      </x:c>
      <x:c r="L62" s="48" t="n">
        <x:f>IF(COUNT(E62,G62)&lt;2,"",E62-G62)</x:f>
        <x:v>52.35999999999996</x:v>
      </x:c>
      <x:c r="M62" s="31" t="str">
        <x:v>网站结构化接口</x:v>
      </x:c>
      <x:c r="N62" s="36" t="d">
        <x:v>2026-10-28T14:16:22.777Z</x:v>
      </x:c>
    </x:row>
    <x:row r="63">
      <x:c r="A63" s="36" t="d">
        <x:v>2025-03-03T00:00:00.000Z</x:v>
      </x:c>
      <x:c r="B63" s="48" t="n">
        <x:v>325.07</x:v>
      </x:c>
      <x:c r="C63" s="48" t="n">
        <x:v>306.04</x:v>
      </x:c>
      <x:c r="D63" s="48" t="n">
        <x:v>328.22</x:v>
      </x:c>
      <x:c r="E63" s="48" t="n">
        <x:v>305.95</x:v>
      </x:c>
      <x:c r="F63" s="48" t="n">
        <x:v>298.52</x:v>
      </x:c>
      <x:c r="G63" s="48" t="n">
        <x:v>306.85</x:v>
      </x:c>
      <x:c r="H63" s="49" t="n">
        <x:v>516120.76</x:v>
      </x:c>
      <x:c r="I63" s="49" t="n">
        <x:v>500017.21</x:v>
      </x:c>
      <x:c r="J63" s="48" t="n">
        <x:f>IF(COUNT(B63:C63)&lt;2,"",B63-C63)</x:f>
        <x:v>19.029999999999973</x:v>
      </x:c>
      <x:c r="K63" s="48" t="n">
        <x:f>IF(COUNT(D63,F63)&lt;2,"",D63-F63)</x:f>
        <x:v>29.700000000000045</x:v>
      </x:c>
      <x:c r="L63" s="48" t="n">
        <x:f>IF(COUNT(E63,G63)&lt;2,"",E63-G63)</x:f>
        <x:v>-0.9000000000000341</x:v>
      </x:c>
      <x:c r="M63" s="31" t="str">
        <x:v>网站结构化接口</x:v>
      </x:c>
      <x:c r="N63" s="36" t="d">
        <x:v>2026-10-28T14:16:22.777Z</x:v>
      </x:c>
    </x:row>
    <x:row r="64">
      <x:c r="A64" s="36" t="d">
        <x:v>2025-03-04T00:00:00.000Z</x:v>
      </x:c>
      <x:c r="B64" s="48" t="n">
        <x:v>366.79</x:v>
      </x:c>
      <x:c r="C64" s="48" t="n">
        <x:v>287.88</x:v>
      </x:c>
      <x:c r="D64" s="48" t="n">
        <x:v>384.5</x:v>
      </x:c>
      <x:c r="E64" s="48" t="n">
        <x:v>293.49</x:v>
      </x:c>
      <x:c r="F64" s="48" t="n">
        <x:v>242.64</x:v>
      </x:c>
      <x:c r="G64" s="48" t="n">
        <x:v>236.93</x:v>
      </x:c>
      <x:c r="H64" s="49" t="n">
        <x:v>502931.51</x:v>
      </x:c>
      <x:c r="I64" s="49" t="n">
        <x:v>499923.09</x:v>
      </x:c>
      <x:c r="J64" s="48" t="n">
        <x:f>IF(COUNT(B64:C64)&lt;2,"",B64-C64)</x:f>
        <x:v>78.91000000000003</x:v>
      </x:c>
      <x:c r="K64" s="48" t="n">
        <x:f>IF(COUNT(D64,F64)&lt;2,"",D64-F64)</x:f>
        <x:v>141.86</x:v>
      </x:c>
      <x:c r="L64" s="48" t="n">
        <x:f>IF(COUNT(E64,G64)&lt;2,"",E64-G64)</x:f>
        <x:v>56.56</x:v>
      </x:c>
      <x:c r="M64" s="31" t="str">
        <x:v>网站结构化接口</x:v>
      </x:c>
      <x:c r="N64" s="36" t="d">
        <x:v>2026-10-28T14:16:22.777Z</x:v>
      </x:c>
    </x:row>
    <x:row r="65">
      <x:c r="A65" s="36" t="d">
        <x:v>2025-03-05T00:00:00.000Z</x:v>
      </x:c>
      <x:c r="B65" s="48" t="n">
        <x:v>300.67</x:v>
      </x:c>
      <x:c r="C65" s="48" t="n">
        <x:v>362.25</x:v>
      </x:c>
      <x:c r="D65" s="48" t="n">
        <x:v>323.31</x:v>
      </x:c>
      <x:c r="E65" s="48" t="n">
        <x:v>373.82</x:v>
      </x:c>
      <x:c r="F65" s="48" t="n">
        <x:v>176.32</x:v>
      </x:c>
      <x:c r="G65" s="48" t="n">
        <x:v>282.56</x:v>
      </x:c>
      <x:c r="H65" s="49" t="n">
        <x:v>487078.07</x:v>
      </x:c>
      <x:c r="I65" s="49" t="n">
        <x:v>491083</x:v>
      </x:c>
      <x:c r="J65" s="48" t="n">
        <x:f>IF(COUNT(B65:C65)&lt;2,"",B65-C65)</x:f>
        <x:v>-61.579999999999984</x:v>
      </x:c>
      <x:c r="K65" s="48" t="n">
        <x:f>IF(COUNT(D65,F65)&lt;2,"",D65-F65)</x:f>
        <x:v>146.99</x:v>
      </x:c>
      <x:c r="L65" s="48" t="n">
        <x:f>IF(COUNT(E65,G65)&lt;2,"",E65-G65)</x:f>
        <x:v>91.25999999999999</x:v>
      </x:c>
      <x:c r="M65" s="31" t="str">
        <x:v>网站结构化接口</x:v>
      </x:c>
      <x:c r="N65" s="36" t="d">
        <x:v>2026-10-28T14:16:22.777Z</x:v>
      </x:c>
    </x:row>
    <x:row r="66">
      <x:c r="A66" s="36" t="d">
        <x:v>2025-03-06T00:00:00.000Z</x:v>
      </x:c>
      <x:c r="B66" s="48" t="n">
        <x:v>363.24</x:v>
      </x:c>
      <x:c r="C66" s="48" t="n">
        <x:v>277.15</x:v>
      </x:c>
      <x:c r="D66" s="48" t="n">
        <x:v>391.03</x:v>
      </x:c>
      <x:c r="E66" s="48" t="n">
        <x:v>296.27</x:v>
      </x:c>
      <x:c r="F66" s="48" t="n">
        <x:v>226.05</x:v>
      </x:c>
      <x:c r="G66" s="48" t="n">
        <x:v>183.2</x:v>
      </x:c>
      <x:c r="H66" s="49" t="n">
        <x:v>475333.72</x:v>
      </x:c>
      <x:c r="I66" s="49" t="n">
        <x:v>452946.84</x:v>
      </x:c>
      <x:c r="J66" s="48" t="n">
        <x:f>IF(COUNT(B66:C66)&lt;2,"",B66-C66)</x:f>
        <x:v>86.09000000000003</x:v>
      </x:c>
      <x:c r="K66" s="48" t="n">
        <x:f>IF(COUNT(D66,F66)&lt;2,"",D66-F66)</x:f>
        <x:v>164.97999999999996</x:v>
      </x:c>
      <x:c r="L66" s="48" t="n">
        <x:f>IF(COUNT(E66,G66)&lt;2,"",E66-G66)</x:f>
        <x:v>113.07</x:v>
      </x:c>
      <x:c r="M66" s="31" t="str">
        <x:v>网站结构化接口</x:v>
      </x:c>
      <x:c r="N66" s="36" t="d">
        <x:v>2026-10-28T14:16:22.777Z</x:v>
      </x:c>
    </x:row>
    <x:row r="67">
      <x:c r="A67" s="36" t="d">
        <x:v>2025-03-07T00:00:00.000Z</x:v>
      </x:c>
      <x:c r="B67" s="48" t="n">
        <x:v>272.18</x:v>
      </x:c>
      <x:c r="C67" s="48" t="n">
        <x:v>278.87</x:v>
      </x:c>
      <x:c r="D67" s="48" t="n">
        <x:v>295.88</x:v>
      </x:c>
      <x:c r="E67" s="48" t="n">
        <x:v>298.26</x:v>
      </x:c>
      <x:c r="F67" s="48" t="n">
        <x:v>153.5</x:v>
      </x:c>
      <x:c r="G67" s="48" t="n">
        <x:v>171.79</x:v>
      </x:c>
      <x:c r="H67" s="49" t="n">
        <x:v>460330.94</x:v>
      </x:c>
      <x:c r="I67" s="49" t="n">
        <x:v>460105.9</x:v>
      </x:c>
      <x:c r="J67" s="48" t="n">
        <x:f>IF(COUNT(B67:C67)&lt;2,"",B67-C67)</x:f>
        <x:v>-6.689999999999998</x:v>
      </x:c>
      <x:c r="K67" s="48" t="n">
        <x:f>IF(COUNT(D67,F67)&lt;2,"",D67-F67)</x:f>
        <x:v>142.38</x:v>
      </x:c>
      <x:c r="L67" s="48" t="n">
        <x:f>IF(COUNT(E67,G67)&lt;2,"",E67-G67)</x:f>
        <x:v>126.47</x:v>
      </x:c>
      <x:c r="M67" s="31" t="str">
        <x:v>网站结构化接口</x:v>
      </x:c>
      <x:c r="N67" s="36" t="d">
        <x:v>2026-10-28T14:16:22.777Z</x:v>
      </x:c>
    </x:row>
    <x:row r="68">
      <x:c r="A68" s="36" t="d">
        <x:v>2025-03-08T00:00:00.000Z</x:v>
      </x:c>
      <x:c r="B68" s="48" t="n">
        <x:v>172.32</x:v>
      </x:c>
      <x:c r="C68" s="48" t="n">
        <x:v>151.49</x:v>
      </x:c>
      <x:c r="D68" s="48" t="n">
        <x:v>187.87</x:v>
      </x:c>
      <x:c r="E68" s="48" t="n">
        <x:v>162.19</x:v>
      </x:c>
      <x:c r="F68" s="48" t="n">
        <x:v>126.03</x:v>
      </x:c>
      <x:c r="G68" s="48" t="n">
        <x:v>121.25</x:v>
      </x:c>
      <x:c r="H68" s="49" t="n">
        <x:v>427606.26</x:v>
      </x:c>
      <x:c r="I68" s="49" t="n">
        <x:v>417436.29</x:v>
      </x:c>
      <x:c r="J68" s="48" t="n">
        <x:f>IF(COUNT(B68:C68)&lt;2,"",B68-C68)</x:f>
        <x:v>20.829999999999984</x:v>
      </x:c>
      <x:c r="K68" s="48" t="n">
        <x:f>IF(COUNT(D68,F68)&lt;2,"",D68-F68)</x:f>
        <x:v>61.84</x:v>
      </x:c>
      <x:c r="L68" s="48" t="n">
        <x:f>IF(COUNT(E68,G68)&lt;2,"",E68-G68)</x:f>
        <x:v>40.94</x:v>
      </x:c>
      <x:c r="M68" s="31" t="str">
        <x:v>网站结构化接口</x:v>
      </x:c>
      <x:c r="N68" s="36" t="d">
        <x:v>2026-10-28T14:16:22.777Z</x:v>
      </x:c>
    </x:row>
    <x:row r="69">
      <x:c r="A69" s="36" t="d">
        <x:v>2025-03-09T00:00:00.000Z</x:v>
      </x:c>
      <x:c r="B69" s="48" t="n">
        <x:v>174.67</x:v>
      </x:c>
      <x:c r="C69" s="48" t="n">
        <x:v>149.33</x:v>
      </x:c>
      <x:c r="D69" s="48" t="n">
        <x:v>198.99</x:v>
      </x:c>
      <x:c r="E69" s="48" t="n">
        <x:v>167.63</x:v>
      </x:c>
      <x:c r="F69" s="48" t="n">
        <x:v>106.56</x:v>
      </x:c>
      <x:c r="G69" s="48" t="n">
        <x:v>96.86</x:v>
      </x:c>
      <x:c r="H69" s="49" t="n">
        <x:v>424114.72</x:v>
      </x:c>
      <x:c r="I69" s="49" t="n">
        <x:v>405541</x:v>
      </x:c>
      <x:c r="J69" s="48" t="n">
        <x:f>IF(COUNT(B69:C69)&lt;2,"",B69-C69)</x:f>
        <x:v>25.339999999999975</x:v>
      </x:c>
      <x:c r="K69" s="48" t="n">
        <x:f>IF(COUNT(D69,F69)&lt;2,"",D69-F69)</x:f>
        <x:v>92.43</x:v>
      </x:c>
      <x:c r="L69" s="48" t="n">
        <x:f>IF(COUNT(E69,G69)&lt;2,"",E69-G69)</x:f>
        <x:v>70.77</x:v>
      </x:c>
      <x:c r="M69" s="31" t="str">
        <x:v>网站结构化接口</x:v>
      </x:c>
      <x:c r="N69" s="36" t="d">
        <x:v>2026-10-28T14:16:22.777Z</x:v>
      </x:c>
    </x:row>
    <x:row r="70">
      <x:c r="A70" s="36" t="d">
        <x:v>2025-03-10T00:00:00.000Z</x:v>
      </x:c>
      <x:c r="B70" s="48" t="n">
        <x:v>183</x:v>
      </x:c>
      <x:c r="C70" s="48" t="n">
        <x:v>183.15</x:v>
      </x:c>
      <x:c r="D70" s="48" t="n">
        <x:v>202.03</x:v>
      </x:c>
      <x:c r="E70" s="48" t="n">
        <x:v>200.01</x:v>
      </x:c>
      <x:c r="F70" s="48" t="n">
        <x:v>129.33</x:v>
      </x:c>
      <x:c r="G70" s="48" t="n">
        <x:v>125.97</x:v>
      </x:c>
      <x:c r="H70" s="49" t="n">
        <x:v>430836.33</x:v>
      </x:c>
      <x:c r="I70" s="49" t="n">
        <x:v>405770.83</x:v>
      </x:c>
      <x:c r="J70" s="48" t="n">
        <x:f>IF(COUNT(B70:C70)&lt;2,"",B70-C70)</x:f>
        <x:v>-0.15000000000000568</x:v>
      </x:c>
      <x:c r="K70" s="48" t="n">
        <x:f>IF(COUNT(D70,F70)&lt;2,"",D70-F70)</x:f>
        <x:v>72.69999999999999</x:v>
      </x:c>
      <x:c r="L70" s="48" t="n">
        <x:f>IF(COUNT(E70,G70)&lt;2,"",E70-G70)</x:f>
        <x:v>74.03999999999999</x:v>
      </x:c>
      <x:c r="M70" s="31" t="str">
        <x:v>网站结构化接口</x:v>
      </x:c>
      <x:c r="N70" s="36" t="d">
        <x:v>2026-10-28T14:16:22.777Z</x:v>
      </x:c>
    </x:row>
    <x:row r="71">
      <x:c r="A71" s="36" t="d">
        <x:v>2025-03-11T00:00:00.000Z</x:v>
      </x:c>
      <x:c r="B71" s="48" t="n">
        <x:v>220.23</x:v>
      </x:c>
      <x:c r="C71" s="48" t="n">
        <x:v>191.74</x:v>
      </x:c>
      <x:c r="D71" s="48" t="n">
        <x:v>247.55</x:v>
      </x:c>
      <x:c r="E71" s="48" t="n">
        <x:v>217.66</x:v>
      </x:c>
      <x:c r="F71" s="48" t="n">
        <x:v>141.36</x:v>
      </x:c>
      <x:c r="G71" s="48" t="n">
        <x:v>118.62</x:v>
      </x:c>
      <x:c r="H71" s="49" t="n">
        <x:v>430024.46</x:v>
      </x:c>
      <x:c r="I71" s="49" t="n">
        <x:v>423332.36</x:v>
      </x:c>
      <x:c r="J71" s="48" t="n">
        <x:f>IF(COUNT(B71:C71)&lt;2,"",B71-C71)</x:f>
        <x:v>28.48999999999998</x:v>
      </x:c>
      <x:c r="K71" s="48" t="n">
        <x:f>IF(COUNT(D71,F71)&lt;2,"",D71-F71)</x:f>
        <x:v>106.19</x:v>
      </x:c>
      <x:c r="L71" s="48" t="n">
        <x:f>IF(COUNT(E71,G71)&lt;2,"",E71-G71)</x:f>
        <x:v>99.03999999999999</x:v>
      </x:c>
      <x:c r="M71" s="31" t="str">
        <x:v>网站结构化接口</x:v>
      </x:c>
      <x:c r="N71" s="36" t="d">
        <x:v>2026-10-28T14:16:22.777Z</x:v>
      </x:c>
    </x:row>
    <x:row r="72">
      <x:c r="A72" s="36" t="d">
        <x:v>2025-03-12T00:00:00.000Z</x:v>
      </x:c>
      <x:c r="B72" s="48" t="n">
        <x:v>366.02</x:v>
      </x:c>
      <x:c r="C72" s="48" t="n">
        <x:v>252.66</x:v>
      </x:c>
      <x:c r="D72" s="48" t="n">
        <x:v>398.34</x:v>
      </x:c>
      <x:c r="E72" s="48" t="n">
        <x:v>272.92</x:v>
      </x:c>
      <x:c r="F72" s="48" t="n">
        <x:v>227.88</x:v>
      </x:c>
      <x:c r="G72" s="48" t="n">
        <x:v>159.78</x:v>
      </x:c>
      <x:c r="H72" s="49" t="n">
        <x:v>453596.2</x:v>
      </x:c>
      <x:c r="I72" s="49" t="n">
        <x:v>438728.78</x:v>
      </x:c>
      <x:c r="J72" s="48" t="n">
        <x:f>IF(COUNT(B72:C72)&lt;2,"",B72-C72)</x:f>
        <x:v>113.35999999999999</x:v>
      </x:c>
      <x:c r="K72" s="48" t="n">
        <x:f>IF(COUNT(D72,F72)&lt;2,"",D72-F72)</x:f>
        <x:v>170.45999999999998</x:v>
      </x:c>
      <x:c r="L72" s="48" t="n">
        <x:f>IF(COUNT(E72,G72)&lt;2,"",E72-G72)</x:f>
        <x:v>113.14000000000001</x:v>
      </x:c>
      <x:c r="M72" s="31" t="str">
        <x:v>网站结构化接口</x:v>
      </x:c>
      <x:c r="N72" s="36" t="d">
        <x:v>2026-10-28T14:16:22.777Z</x:v>
      </x:c>
    </x:row>
    <x:row r="73">
      <x:c r="A73" s="36" t="d">
        <x:v>2025-03-13T00:00:00.000Z</x:v>
      </x:c>
      <x:c r="B73" s="48" t="n">
        <x:v>238.43</x:v>
      </x:c>
      <x:c r="C73" s="48" t="n">
        <x:v>215.57</x:v>
      </x:c>
      <x:c r="D73" s="48" t="n">
        <x:v>259.76</x:v>
      </x:c>
      <x:c r="E73" s="48" t="n">
        <x:v>233.92</x:v>
      </x:c>
      <x:c r="F73" s="48" t="n">
        <x:v>166.59</x:v>
      </x:c>
      <x:c r="G73" s="48" t="n">
        <x:v>153.31</x:v>
      </x:c>
      <x:c r="H73" s="49" t="n">
        <x:v>472723.88</x:v>
      </x:c>
      <x:c r="I73" s="49" t="n">
        <x:v>439762.19</x:v>
      </x:c>
      <x:c r="J73" s="48" t="n">
        <x:f>IF(COUNT(B73:C73)&lt;2,"",B73-C73)</x:f>
        <x:v>22.860000000000014</x:v>
      </x:c>
      <x:c r="K73" s="48" t="n">
        <x:f>IF(COUNT(D73,F73)&lt;2,"",D73-F73)</x:f>
        <x:v>93.16999999999999</x:v>
      </x:c>
      <x:c r="L73" s="48" t="n">
        <x:f>IF(COUNT(E73,G73)&lt;2,"",E73-G73)</x:f>
        <x:v>80.60999999999999</x:v>
      </x:c>
      <x:c r="M73" s="31" t="str">
        <x:v>网站结构化接口</x:v>
      </x:c>
      <x:c r="N73" s="36" t="d">
        <x:v>2026-10-28T14:16:22.777Z</x:v>
      </x:c>
    </x:row>
    <x:row r="74">
      <x:c r="A74" s="36" t="d">
        <x:v>2025-03-14T00:00:00.000Z</x:v>
      </x:c>
      <x:c r="B74" s="48" t="n">
        <x:v>327.07</x:v>
      </x:c>
      <x:c r="C74" s="48" t="n">
        <x:v>254.87</x:v>
      </x:c>
      <x:c r="D74" s="48" t="n">
        <x:v>333.9</x:v>
      </x:c>
      <x:c r="E74" s="48" t="n">
        <x:v>255.94</x:v>
      </x:c>
      <x:c r="F74" s="48" t="n">
        <x:v>285.81</x:v>
      </x:c>
      <x:c r="G74" s="48" t="n">
        <x:v>249.09</x:v>
      </x:c>
      <x:c r="H74" s="49" t="n">
        <x:v>510817.07</x:v>
      </x:c>
      <x:c r="I74" s="49" t="n">
        <x:v>483414.29</x:v>
      </x:c>
      <x:c r="J74" s="48" t="n">
        <x:f>IF(COUNT(B74:C74)&lt;2,"",B74-C74)</x:f>
        <x:v>72.19999999999999</x:v>
      </x:c>
      <x:c r="K74" s="48" t="n">
        <x:f>IF(COUNT(D74,F74)&lt;2,"",D74-F74)</x:f>
        <x:v>48.089999999999975</x:v>
      </x:c>
      <x:c r="L74" s="48" t="n">
        <x:f>IF(COUNT(E74,G74)&lt;2,"",E74-G74)</x:f>
        <x:v>6.849999999999994</x:v>
      </x:c>
      <x:c r="M74" s="31" t="str">
        <x:v>网站结构化接口</x:v>
      </x:c>
      <x:c r="N74" s="36" t="d">
        <x:v>2026-10-28T14:16:22.777Z</x:v>
      </x:c>
    </x:row>
    <x:row r="75">
      <x:c r="A75" s="36" t="d">
        <x:v>2025-03-15T00:00:00.000Z</x:v>
      </x:c>
      <x:c r="B75" s="48" t="n">
        <x:v>223.36</x:v>
      </x:c>
      <x:c r="C75" s="48" t="n">
        <x:v>192.88</x:v>
      </x:c>
      <x:c r="D75" s="48" t="n">
        <x:v>244.04</x:v>
      </x:c>
      <x:c r="E75" s="48" t="n">
        <x:v>207.82</x:v>
      </x:c>
      <x:c r="F75" s="48" t="n">
        <x:v>174.33</x:v>
      </x:c>
      <x:c r="G75" s="48" t="n">
        <x:v>157.42</x:v>
      </x:c>
      <x:c r="H75" s="49" t="n">
        <x:v>467209.9</x:v>
      </x:c>
      <x:c r="I75" s="49" t="n">
        <x:v>433975.95</x:v>
      </x:c>
      <x:c r="J75" s="48" t="n">
        <x:f>IF(COUNT(B75:C75)&lt;2,"",B75-C75)</x:f>
        <x:v>30.480000000000018</x:v>
      </x:c>
      <x:c r="K75" s="48" t="n">
        <x:f>IF(COUNT(D75,F75)&lt;2,"",D75-F75)</x:f>
        <x:v>69.70999999999998</x:v>
      </x:c>
      <x:c r="L75" s="48" t="n">
        <x:f>IF(COUNT(E75,G75)&lt;2,"",E75-G75)</x:f>
        <x:v>50.400000000000006</x:v>
      </x:c>
      <x:c r="M75" s="31" t="str">
        <x:v>网站结构化接口</x:v>
      </x:c>
      <x:c r="N75" s="36" t="d">
        <x:v>2026-10-28T14:16:22.777Z</x:v>
      </x:c>
    </x:row>
    <x:row r="76">
      <x:c r="A76" s="36" t="d">
        <x:v>2025-03-16T00:00:00.000Z</x:v>
      </x:c>
      <x:c r="B76" s="48" t="n">
        <x:v>356.53</x:v>
      </x:c>
      <x:c r="C76" s="48" t="n">
        <x:v>305.51</x:v>
      </x:c>
      <x:c r="D76" s="48" t="n">
        <x:v>397.29</x:v>
      </x:c>
      <x:c r="E76" s="48" t="n">
        <x:v>332.82</x:v>
      </x:c>
      <x:c r="F76" s="48" t="n">
        <x:v>185.21</x:v>
      </x:c>
      <x:c r="G76" s="48" t="n">
        <x:v>169.19</x:v>
      </x:c>
      <x:c r="H76" s="49" t="n">
        <x:v>464321.9</x:v>
      </x:c>
      <x:c r="I76" s="49" t="n">
        <x:v>445920.01</x:v>
      </x:c>
      <x:c r="J76" s="48" t="n">
        <x:f>IF(COUNT(B76:C76)&lt;2,"",B76-C76)</x:f>
        <x:v>51.01999999999998</x:v>
      </x:c>
      <x:c r="K76" s="48" t="n">
        <x:f>IF(COUNT(D76,F76)&lt;2,"",D76-F76)</x:f>
        <x:v>212.08</x:v>
      </x:c>
      <x:c r="L76" s="48" t="n">
        <x:f>IF(COUNT(E76,G76)&lt;2,"",E76-G76)</x:f>
        <x:v>163.63</x:v>
      </x:c>
      <x:c r="M76" s="31" t="str">
        <x:v>网站结构化接口</x:v>
      </x:c>
      <x:c r="N76" s="36" t="d">
        <x:v>2026-10-28T14:16:22.777Z</x:v>
      </x:c>
    </x:row>
    <x:row r="77">
      <x:c r="A77" s="36" t="d">
        <x:v>2025-03-17T00:00:00.000Z</x:v>
      </x:c>
      <x:c r="B77" s="48" t="n">
        <x:v>270.08</x:v>
      </x:c>
      <x:c r="C77" s="48" t="n">
        <x:v>229.87</x:v>
      </x:c>
      <x:c r="D77" s="48" t="n">
        <x:v>300.68</x:v>
      </x:c>
      <x:c r="E77" s="48" t="n">
        <x:v>258.98</x:v>
      </x:c>
      <x:c r="F77" s="48" t="n">
        <x:v>193.32</x:v>
      </x:c>
      <x:c r="G77" s="48" t="n">
        <x:v>158.56</x:v>
      </x:c>
      <x:c r="H77" s="49" t="n">
        <x:v>426081.25</x:v>
      </x:c>
      <x:c r="I77" s="49" t="n">
        <x:v>418905.05</x:v>
      </x:c>
      <x:c r="J77" s="48" t="n">
        <x:f>IF(COUNT(B77:C77)&lt;2,"",B77-C77)</x:f>
        <x:v>40.20999999999998</x:v>
      </x:c>
      <x:c r="K77" s="48" t="n">
        <x:f>IF(COUNT(D77,F77)&lt;2,"",D77-F77)</x:f>
        <x:v>107.36000000000001</x:v>
      </x:c>
      <x:c r="L77" s="48" t="n">
        <x:f>IF(COUNT(E77,G77)&lt;2,"",E77-G77)</x:f>
        <x:v>100.42000000000002</x:v>
      </x:c>
      <x:c r="M77" s="31" t="str">
        <x:v>网站结构化接口</x:v>
      </x:c>
      <x:c r="N77" s="36" t="d">
        <x:v>2026-10-28T14:16:22.777Z</x:v>
      </x:c>
    </x:row>
    <x:row r="78">
      <x:c r="A78" s="36" t="d">
        <x:v>2025-03-18T00:00:00.000Z</x:v>
      </x:c>
      <x:c r="B78" s="48" t="n">
        <x:v>355.79</x:v>
      </x:c>
      <x:c r="C78" s="48" t="n">
        <x:v>189.34</x:v>
      </x:c>
      <x:c r="D78" s="48" t="n">
        <x:v>403.21</x:v>
      </x:c>
      <x:c r="E78" s="48" t="n">
        <x:v>206.99</x:v>
      </x:c>
      <x:c r="F78" s="48" t="n">
        <x:v>202.81</x:v>
      </x:c>
      <x:c r="G78" s="48" t="n">
        <x:v>139.93</x:v>
      </x:c>
      <x:c r="H78" s="49" t="n">
        <x:v>433239.87</x:v>
      </x:c>
      <x:c r="I78" s="49" t="n">
        <x:v>413880.66</x:v>
      </x:c>
      <x:c r="J78" s="48" t="n">
        <x:f>IF(COUNT(B78:C78)&lt;2,"",B78-C78)</x:f>
        <x:v>166.45000000000002</x:v>
      </x:c>
      <x:c r="K78" s="48" t="n">
        <x:f>IF(COUNT(D78,F78)&lt;2,"",D78-F78)</x:f>
        <x:v>200.39999999999998</x:v>
      </x:c>
      <x:c r="L78" s="48" t="n">
        <x:f>IF(COUNT(E78,G78)&lt;2,"",E78-G78)</x:f>
        <x:v>67.06</x:v>
      </x:c>
      <x:c r="M78" s="31" t="str">
        <x:v>网站结构化接口</x:v>
      </x:c>
      <x:c r="N78" s="36" t="d">
        <x:v>2026-10-28T14:16:22.777Z</x:v>
      </x:c>
    </x:row>
    <x:row r="79">
      <x:c r="A79" s="36" t="d">
        <x:v>2025-03-19T00:00:00.000Z</x:v>
      </x:c>
      <x:c r="B79" s="48" t="n">
        <x:v>226.24</x:v>
      </x:c>
      <x:c r="C79" s="48" t="n">
        <x:v>176.13</x:v>
      </x:c>
      <x:c r="D79" s="48" t="n">
        <x:v>251.49</x:v>
      </x:c>
      <x:c r="E79" s="48" t="n">
        <x:v>197.16</x:v>
      </x:c>
      <x:c r="F79" s="48" t="n">
        <x:v>135.85</x:v>
      </x:c>
      <x:c r="G79" s="48" t="n">
        <x:v>105.14</x:v>
      </x:c>
      <x:c r="H79" s="49" t="n">
        <x:v>435696.43</x:v>
      </x:c>
      <x:c r="I79" s="49" t="n">
        <x:v>408665.41</x:v>
      </x:c>
      <x:c r="J79" s="48" t="n">
        <x:f>IF(COUNT(B79:C79)&lt;2,"",B79-C79)</x:f>
        <x:v>50.110000000000014</x:v>
      </x:c>
      <x:c r="K79" s="48" t="n">
        <x:f>IF(COUNT(D79,F79)&lt;2,"",D79-F79)</x:f>
        <x:v>115.64000000000001</x:v>
      </x:c>
      <x:c r="L79" s="48" t="n">
        <x:f>IF(COUNT(E79,G79)&lt;2,"",E79-G79)</x:f>
        <x:v>92.02</x:v>
      </x:c>
      <x:c r="M79" s="31" t="str">
        <x:v>网站结构化接口</x:v>
      </x:c>
      <x:c r="N79" s="36" t="d">
        <x:v>2026-10-28T14:16:22.777Z</x:v>
      </x:c>
    </x:row>
    <x:row r="80">
      <x:c r="A80" s="36" t="d">
        <x:v>2025-03-20T00:00:00.000Z</x:v>
      </x:c>
      <x:c r="B80" s="48" t="n">
        <x:v>328.84</x:v>
      </x:c>
      <x:c r="C80" s="48" t="n">
        <x:v>242.47</x:v>
      </x:c>
      <x:c r="D80" s="48" t="n">
        <x:v>371.48</x:v>
      </x:c>
      <x:c r="E80" s="48" t="n">
        <x:v>268.59</x:v>
      </x:c>
      <x:c r="F80" s="48" t="n">
        <x:v>179.49</x:v>
      </x:c>
      <x:c r="G80" s="48" t="n">
        <x:v>150.08</x:v>
      </x:c>
      <x:c r="H80" s="49" t="n">
        <x:v>423132.89</x:v>
      </x:c>
      <x:c r="I80" s="49" t="n">
        <x:v>403485.58</x:v>
      </x:c>
      <x:c r="J80" s="48" t="n">
        <x:f>IF(COUNT(B80:C80)&lt;2,"",B80-C80)</x:f>
        <x:v>86.36999999999998</x:v>
      </x:c>
      <x:c r="K80" s="48" t="n">
        <x:f>IF(COUNT(D80,F80)&lt;2,"",D80-F80)</x:f>
        <x:v>191.99</x:v>
      </x:c>
      <x:c r="L80" s="48" t="n">
        <x:f>IF(COUNT(E80,G80)&lt;2,"",E80-G80)</x:f>
        <x:v>118.50999999999996</x:v>
      </x:c>
      <x:c r="M80" s="31" t="str">
        <x:v>网站结构化接口</x:v>
      </x:c>
      <x:c r="N80" s="36" t="d">
        <x:v>2026-10-28T14:16:22.777Z</x:v>
      </x:c>
    </x:row>
    <x:row r="81">
      <x:c r="A81" s="36" t="d">
        <x:v>2025-03-21T00:00:00.000Z</x:v>
      </x:c>
      <x:c r="B81" s="48" t="n">
        <x:v>277.61</x:v>
      </x:c>
      <x:c r="C81" s="48" t="n">
        <x:v>298.23</x:v>
      </x:c>
      <x:c r="D81" s="48" t="n">
        <x:v>315.21</x:v>
      </x:c>
      <x:c r="E81" s="48" t="n">
        <x:v>337.85</x:v>
      </x:c>
      <x:c r="F81" s="48" t="n">
        <x:v>145.7</x:v>
      </x:c>
      <x:c r="G81" s="48" t="n">
        <x:v>154.46</x:v>
      </x:c>
      <x:c r="H81" s="49" t="n">
        <x:v>403006.18</x:v>
      </x:c>
      <x:c r="I81" s="49" t="n">
        <x:v>403168.7</x:v>
      </x:c>
      <x:c r="J81" s="48" t="n">
        <x:f>IF(COUNT(B81:C81)&lt;2,"",B81-C81)</x:f>
        <x:v>-20.620000000000005</x:v>
      </x:c>
      <x:c r="K81" s="48" t="n">
        <x:f>IF(COUNT(D81,F81)&lt;2,"",D81-F81)</x:f>
        <x:v>169.51</x:v>
      </x:c>
      <x:c r="L81" s="48" t="n">
        <x:f>IF(COUNT(E81,G81)&lt;2,"",E81-G81)</x:f>
        <x:v>183.39000000000001</x:v>
      </x:c>
      <x:c r="M81" s="31" t="str">
        <x:v>网站结构化接口</x:v>
      </x:c>
      <x:c r="N81" s="36" t="d">
        <x:v>2026-10-28T14:16:22.777Z</x:v>
      </x:c>
    </x:row>
    <x:row r="82">
      <x:c r="A82" s="36" t="d">
        <x:v>2025-03-22T00:00:00.000Z</x:v>
      </x:c>
      <x:c r="B82" s="48" t="n">
        <x:v>293.83</x:v>
      </x:c>
      <x:c r="C82" s="48" t="n">
        <x:v>294</x:v>
      </x:c>
      <x:c r="D82" s="48" t="n">
        <x:v>335.81</x:v>
      </x:c>
      <x:c r="E82" s="48" t="n">
        <x:v>326.77</x:v>
      </x:c>
      <x:c r="F82" s="48" t="n">
        <x:v>168.85</x:v>
      </x:c>
      <x:c r="G82" s="48" t="n">
        <x:v>191.74</x:v>
      </x:c>
      <x:c r="H82" s="49" t="n">
        <x:v>415738.36</x:v>
      </x:c>
      <x:c r="I82" s="49" t="n">
        <x:v>407484.27</x:v>
      </x:c>
      <x:c r="J82" s="48" t="n">
        <x:f>IF(COUNT(B82:C82)&lt;2,"",B82-C82)</x:f>
        <x:v>-0.17000000000001592</x:v>
      </x:c>
      <x:c r="K82" s="48" t="n">
        <x:f>IF(COUNT(D82,F82)&lt;2,"",D82-F82)</x:f>
        <x:v>166.96</x:v>
      </x:c>
      <x:c r="L82" s="48" t="n">
        <x:f>IF(COUNT(E82,G82)&lt;2,"",E82-G82)</x:f>
        <x:v>135.02999999999997</x:v>
      </x:c>
      <x:c r="M82" s="31" t="str">
        <x:v>网站结构化接口</x:v>
      </x:c>
      <x:c r="N82" s="36" t="d">
        <x:v>2026-10-28T14:16:22.777Z</x:v>
      </x:c>
    </x:row>
    <x:row r="83">
      <x:c r="A83" s="36" t="d">
        <x:v>2025-03-23T00:00:00.000Z</x:v>
      </x:c>
      <x:c r="B83" s="48" t="n">
        <x:v>262.53</x:v>
      </x:c>
      <x:c r="C83" s="48" t="n">
        <x:v>269.25</x:v>
      </x:c>
      <x:c r="D83" s="48" t="n">
        <x:v>300.26</x:v>
      </x:c>
      <x:c r="E83" s="48" t="n">
        <x:v>295.83</x:v>
      </x:c>
      <x:c r="F83" s="48" t="n">
        <x:v>186.65</x:v>
      </x:c>
      <x:c r="G83" s="48" t="n">
        <x:v>211.6</x:v>
      </x:c>
      <x:c r="H83" s="49" t="n">
        <x:v>397960.09</x:v>
      </x:c>
      <x:c r="I83" s="49" t="n">
        <x:v>391662.04</x:v>
      </x:c>
      <x:c r="J83" s="48" t="n">
        <x:f>IF(COUNT(B83:C83)&lt;2,"",B83-C83)</x:f>
        <x:v>-6.720000000000027</x:v>
      </x:c>
      <x:c r="K83" s="48" t="n">
        <x:f>IF(COUNT(D83,F83)&lt;2,"",D83-F83)</x:f>
        <x:v>113.60999999999999</x:v>
      </x:c>
      <x:c r="L83" s="48" t="n">
        <x:f>IF(COUNT(E83,G83)&lt;2,"",E83-G83)</x:f>
        <x:v>84.22999999999999</x:v>
      </x:c>
      <x:c r="M83" s="31" t="str">
        <x:v>网站结构化接口</x:v>
      </x:c>
      <x:c r="N83" s="36" t="d">
        <x:v>2026-10-28T14:16:22.777Z</x:v>
      </x:c>
    </x:row>
    <x:row r="84">
      <x:c r="A84" s="36" t="d">
        <x:v>2025-03-24T00:00:00.000Z</x:v>
      </x:c>
      <x:c r="B84" s="48" t="n">
        <x:v>327.57</x:v>
      </x:c>
      <x:c r="C84" s="48" t="n">
        <x:v>280.36</x:v>
      </x:c>
      <x:c r="D84" s="48" t="n">
        <x:v>395.39</x:v>
      </x:c>
      <x:c r="E84" s="48" t="n">
        <x:v>336.65</x:v>
      </x:c>
      <x:c r="F84" s="48" t="n">
        <x:v>162.92</x:v>
      </x:c>
      <x:c r="G84" s="48" t="n">
        <x:v>138.87</x:v>
      </x:c>
      <x:c r="H84" s="49" t="n">
        <x:v>389938.53</x:v>
      </x:c>
      <x:c r="I84" s="49" t="n">
        <x:v>373997.18</x:v>
      </x:c>
      <x:c r="J84" s="48" t="n">
        <x:f>IF(COUNT(B84:C84)&lt;2,"",B84-C84)</x:f>
        <x:v>47.20999999999998</x:v>
      </x:c>
      <x:c r="K84" s="48" t="n">
        <x:f>IF(COUNT(D84,F84)&lt;2,"",D84-F84)</x:f>
        <x:v>232.47</x:v>
      </x:c>
      <x:c r="L84" s="48" t="n">
        <x:f>IF(COUNT(E84,G84)&lt;2,"",E84-G84)</x:f>
        <x:v>197.77999999999997</x:v>
      </x:c>
      <x:c r="M84" s="31" t="str">
        <x:v>网站结构化接口</x:v>
      </x:c>
      <x:c r="N84" s="36" t="d">
        <x:v>2026-10-28T14:16:22.777Z</x:v>
      </x:c>
    </x:row>
    <x:row r="85">
      <x:c r="A85" s="36" t="d">
        <x:v>2025-03-25T00:00:00.000Z</x:v>
      </x:c>
      <x:c r="B85" s="48" t="n">
        <x:v>315.22</x:v>
      </x:c>
      <x:c r="C85" s="48" t="n">
        <x:v>258.62</x:v>
      </x:c>
      <x:c r="D85" s="48" t="n">
        <x:v>377.25</x:v>
      </x:c>
      <x:c r="E85" s="48" t="n">
        <x:v>311.89</x:v>
      </x:c>
      <x:c r="F85" s="48" t="n">
        <x:v>139.67</x:v>
      </x:c>
      <x:c r="G85" s="48" t="n">
        <x:v>125.78</x:v>
      </x:c>
      <x:c r="H85" s="49" t="n">
        <x:v>364717.9</x:v>
      </x:c>
      <x:c r="I85" s="49" t="n">
        <x:v>355772.71</x:v>
      </x:c>
      <x:c r="J85" s="48" t="n">
        <x:f>IF(COUNT(B85:C85)&lt;2,"",B85-C85)</x:f>
        <x:v>56.60000000000002</x:v>
      </x:c>
      <x:c r="K85" s="48" t="n">
        <x:f>IF(COUNT(D85,F85)&lt;2,"",D85-F85)</x:f>
        <x:v>237.58</x:v>
      </x:c>
      <x:c r="L85" s="48" t="n">
        <x:f>IF(COUNT(E85,G85)&lt;2,"",E85-G85)</x:f>
        <x:v>186.10999999999999</x:v>
      </x:c>
      <x:c r="M85" s="31" t="str">
        <x:v>网站结构化接口</x:v>
      </x:c>
      <x:c r="N85" s="36" t="d">
        <x:v>2026-10-28T14:16:22.777Z</x:v>
      </x:c>
    </x:row>
    <x:row r="86">
      <x:c r="A86" s="36" t="d">
        <x:v>2025-03-26T00:00:00.000Z</x:v>
      </x:c>
      <x:c r="B86" s="48" t="n">
        <x:v>176.38</x:v>
      </x:c>
      <x:c r="C86" s="48" t="n">
        <x:v>133.88</x:v>
      </x:c>
      <x:c r="D86" s="48" t="n">
        <x:v>220.78</x:v>
      </x:c>
      <x:c r="E86" s="48" t="n">
        <x:v>169.4</x:v>
      </x:c>
      <x:c r="F86" s="48" t="n">
        <x:v>93.18</x:v>
      </x:c>
      <x:c r="G86" s="48" t="n">
        <x:v>74.29</x:v>
      </x:c>
      <x:c r="H86" s="49" t="n">
        <x:v>364020.93</x:v>
      </x:c>
      <x:c r="I86" s="49" t="n">
        <x:v>350763.95</x:v>
      </x:c>
      <x:c r="J86" s="48" t="n">
        <x:f>IF(COUNT(B86:C86)&lt;2,"",B86-C86)</x:f>
        <x:v>42.5</x:v>
      </x:c>
      <x:c r="K86" s="48" t="n">
        <x:f>IF(COUNT(D86,F86)&lt;2,"",D86-F86)</x:f>
        <x:v>127.6</x:v>
      </x:c>
      <x:c r="L86" s="48" t="n">
        <x:f>IF(COUNT(E86,G86)&lt;2,"",E86-G86)</x:f>
        <x:v>95.11</x:v>
      </x:c>
      <x:c r="M86" s="31" t="str">
        <x:v>网站结构化接口</x:v>
      </x:c>
      <x:c r="N86" s="36" t="d">
        <x:v>2026-10-28T14:16:22.777Z</x:v>
      </x:c>
    </x:row>
    <x:row r="87">
      <x:c r="A87" s="36" t="d">
        <x:v>2025-03-27T00:00:00.000Z</x:v>
      </x:c>
      <x:c r="B87" s="48" t="n">
        <x:v>252.21</x:v>
      </x:c>
      <x:c r="C87" s="48" t="n">
        <x:v>263.92</x:v>
      </x:c>
      <x:c r="D87" s="48" t="n">
        <x:v>329.17</x:v>
      </x:c>
      <x:c r="E87" s="48" t="n">
        <x:v>327.9</x:v>
      </x:c>
      <x:c r="F87" s="48" t="n">
        <x:v>114.69</x:v>
      </x:c>
      <x:c r="G87" s="48" t="n">
        <x:v>146.99</x:v>
      </x:c>
      <x:c r="H87" s="49" t="n">
        <x:v>367315.44</x:v>
      </x:c>
      <x:c r="I87" s="49" t="n">
        <x:v>379933.99</x:v>
      </x:c>
      <x:c r="J87" s="48" t="n">
        <x:f>IF(COUNT(B87:C87)&lt;2,"",B87-C87)</x:f>
        <x:v>-11.710000000000008</x:v>
      </x:c>
      <x:c r="K87" s="48" t="n">
        <x:f>IF(COUNT(D87,F87)&lt;2,"",D87-F87)</x:f>
        <x:v>214.48000000000002</x:v>
      </x:c>
      <x:c r="L87" s="48" t="n">
        <x:f>IF(COUNT(E87,G87)&lt;2,"",E87-G87)</x:f>
        <x:v>180.90999999999997</x:v>
      </x:c>
      <x:c r="M87" s="31" t="str">
        <x:v>网站结构化接口</x:v>
      </x:c>
      <x:c r="N87" s="36" t="d">
        <x:v>2026-10-28T14:16:22.777Z</x:v>
      </x:c>
    </x:row>
    <x:row r="88">
      <x:c r="A88" s="36" t="d">
        <x:v>2025-03-28T00:00:00.000Z</x:v>
      </x:c>
      <x:c r="B88" s="48" t="n">
        <x:v>284.51</x:v>
      </x:c>
      <x:c r="C88" s="48" t="n">
        <x:v>321.28</x:v>
      </x:c>
      <x:c r="D88" s="48" t="n">
        <x:v>366.3</x:v>
      </x:c>
      <x:c r="E88" s="48" t="n">
        <x:v>417.03</x:v>
      </x:c>
      <x:c r="F88" s="48" t="n">
        <x:v>98.33</x:v>
      </x:c>
      <x:c r="G88" s="48" t="n">
        <x:v>110.47</x:v>
      </x:c>
      <x:c r="H88" s="49" t="n">
        <x:v>381992.41</x:v>
      </x:c>
      <x:c r="I88" s="49" t="n">
        <x:v>399258.76</x:v>
      </x:c>
      <x:c r="J88" s="48" t="n">
        <x:f>IF(COUNT(B88:C88)&lt;2,"",B88-C88)</x:f>
        <x:v>-36.76999999999998</x:v>
      </x:c>
      <x:c r="K88" s="48" t="n">
        <x:f>IF(COUNT(D88,F88)&lt;2,"",D88-F88)</x:f>
        <x:v>267.97</x:v>
      </x:c>
      <x:c r="L88" s="48" t="n">
        <x:f>IF(COUNT(E88,G88)&lt;2,"",E88-G88)</x:f>
        <x:v>306.55999999999995</x:v>
      </x:c>
      <x:c r="M88" s="31" t="str">
        <x:v>网站结构化接口</x:v>
      </x:c>
      <x:c r="N88" s="36" t="d">
        <x:v>2026-10-28T14:16:22.777Z</x:v>
      </x:c>
    </x:row>
    <x:row r="89">
      <x:c r="A89" s="36" t="d">
        <x:v>2025-03-29T00:00:00.000Z</x:v>
      </x:c>
      <x:c r="B89" s="48" t="n">
        <x:v>245.41</x:v>
      </x:c>
      <x:c r="C89" s="48" t="n">
        <x:v>246.59</x:v>
      </x:c>
      <x:c r="D89" s="48" t="n">
        <x:v>274.14</x:v>
      </x:c>
      <x:c r="E89" s="48" t="n">
        <x:v>272.89</x:v>
      </x:c>
      <x:c r="F89" s="48" t="n">
        <x:v>90.88</x:v>
      </x:c>
      <x:c r="G89" s="48" t="n">
        <x:v>98.86</x:v>
      </x:c>
      <x:c r="H89" s="49" t="n">
        <x:v>381350.51</x:v>
      </x:c>
      <x:c r="I89" s="49" t="n">
        <x:v>418156.26</x:v>
      </x:c>
      <x:c r="J89" s="48" t="n">
        <x:f>IF(COUNT(B89:C89)&lt;2,"",B89-C89)</x:f>
        <x:v>-1.1800000000000068</x:v>
      </x:c>
      <x:c r="K89" s="48" t="n">
        <x:f>IF(COUNT(D89,F89)&lt;2,"",D89-F89)</x:f>
        <x:v>183.26</x:v>
      </x:c>
      <x:c r="L89" s="48" t="n">
        <x:f>IF(COUNT(E89,G89)&lt;2,"",E89-G89)</x:f>
        <x:v>174.02999999999997</x:v>
      </x:c>
      <x:c r="M89" s="31" t="str">
        <x:v>网站结构化接口</x:v>
      </x:c>
      <x:c r="N89" s="36" t="d">
        <x:v>2026-10-28T14:16:22.777Z</x:v>
      </x:c>
    </x:row>
    <x:row r="90">
      <x:c r="A90" s="36" t="d">
        <x:v>2025-03-30T00:00:00.000Z</x:v>
      </x:c>
      <x:c r="B90" s="48" t="n">
        <x:v>233.45</x:v>
      </x:c>
      <x:c r="C90" s="48" t="n">
        <x:v>241.2</x:v>
      </x:c>
      <x:c r="D90" s="48" t="n">
        <x:v>259.94</x:v>
      </x:c>
      <x:c r="E90" s="48" t="n">
        <x:v>268.43</x:v>
      </x:c>
      <x:c r="F90" s="48" t="n">
        <x:v>88.73</x:v>
      </x:c>
      <x:c r="G90" s="48" t="n">
        <x:v>84.59</x:v>
      </x:c>
      <x:c r="H90" s="49" t="n">
        <x:v>389881.48</x:v>
      </x:c>
      <x:c r="I90" s="49" t="n">
        <x:v>402813.43</x:v>
      </x:c>
      <x:c r="J90" s="48" t="n">
        <x:f>IF(COUNT(B90:C90)&lt;2,"",B90-C90)</x:f>
        <x:v>-7.75</x:v>
      </x:c>
      <x:c r="K90" s="48" t="n">
        <x:f>IF(COUNT(D90,F90)&lt;2,"",D90-F90)</x:f>
        <x:v>171.20999999999998</x:v>
      </x:c>
      <x:c r="L90" s="48" t="n">
        <x:f>IF(COUNT(E90,G90)&lt;2,"",E90-G90)</x:f>
        <x:v>183.84</x:v>
      </x:c>
      <x:c r="M90" s="31" t="str">
        <x:v>网站结构化接口</x:v>
      </x:c>
      <x:c r="N90" s="36" t="d">
        <x:v>2026-10-28T14:16:22.777Z</x:v>
      </x:c>
    </x:row>
    <x:row r="91">
      <x:c r="A91" s="36" t="d">
        <x:v>2025-03-31T00:00:00.000Z</x:v>
      </x:c>
      <x:c r="B91" s="48" t="n">
        <x:v>262.02</x:v>
      </x:c>
      <x:c r="C91" s="48" t="n">
        <x:v>279</x:v>
      </x:c>
      <x:c r="D91" s="48" t="n">
        <x:v>305.38</x:v>
      </x:c>
      <x:c r="E91" s="48" t="n">
        <x:v>330.3</x:v>
      </x:c>
      <x:c r="F91" s="48" t="n">
        <x:v>97.5</x:v>
      </x:c>
      <x:c r="G91" s="48" t="n">
        <x:v>89.36</x:v>
      </x:c>
      <x:c r="H91" s="49" t="n">
        <x:v>359439.75</x:v>
      </x:c>
      <x:c r="I91" s="49" t="n">
        <x:v>379293.15</x:v>
      </x:c>
      <x:c r="J91" s="48" t="n">
        <x:f>IF(COUNT(B91:C91)&lt;2,"",B91-C91)</x:f>
        <x:v>-16.980000000000018</x:v>
      </x:c>
      <x:c r="K91" s="48" t="n">
        <x:f>IF(COUNT(D91,F91)&lt;2,"",D91-F91)</x:f>
        <x:v>207.88</x:v>
      </x:c>
      <x:c r="L91" s="48" t="n">
        <x:f>IF(COUNT(E91,G91)&lt;2,"",E91-G91)</x:f>
        <x:v>240.94</x:v>
      </x:c>
      <x:c r="M91" s="31" t="str">
        <x:v>网站结构化接口</x:v>
      </x:c>
      <x:c r="N91" s="36" t="d">
        <x:v>2026-10-28T14:16:22.777Z</x:v>
      </x:c>
    </x:row>
    <x:row r="92">
      <x:c r="A92" s="36" t="d">
        <x:v>2025-04-01T00:00:00.000Z</x:v>
      </x:c>
      <x:c r="B92" s="48" t="n">
        <x:v>227.54</x:v>
      </x:c>
      <x:c r="C92" s="48" t="n">
        <x:v>193.31</x:v>
      </x:c>
      <x:c r="D92" s="48" t="n">
        <x:v>275.74</x:v>
      </x:c>
      <x:c r="E92" s="48" t="n">
        <x:v>243.51</x:v>
      </x:c>
      <x:c r="F92" s="48" t="n">
        <x:v>106.98</x:v>
      </x:c>
      <x:c r="G92" s="48" t="n">
        <x:v>75.11</x:v>
      </x:c>
      <x:c r="H92" s="49" t="n">
        <x:v>346964.42</x:v>
      </x:c>
      <x:c r="I92" s="49" t="n">
        <x:v>340163.57</x:v>
      </x:c>
      <x:c r="J92" s="48" t="n">
        <x:f>IF(COUNT(B92:C92)&lt;2,"",B92-C92)</x:f>
        <x:v>34.22999999999999</x:v>
      </x:c>
      <x:c r="K92" s="48" t="n">
        <x:f>IF(COUNT(D92,F92)&lt;2,"",D92-F92)</x:f>
        <x:v>168.76</x:v>
      </x:c>
      <x:c r="L92" s="48" t="n">
        <x:f>IF(COUNT(E92,G92)&lt;2,"",E92-G92)</x:f>
        <x:v>168.39999999999998</x:v>
      </x:c>
      <x:c r="M92" s="31" t="str">
        <x:v>网站结构化接口</x:v>
      </x:c>
      <x:c r="N92" s="36" t="d">
        <x:v>2026-10-28T14:16:22.777Z</x:v>
      </x:c>
    </x:row>
    <x:row r="93">
      <x:c r="A93" s="36" t="d">
        <x:v>2025-04-02T00:00:00.000Z</x:v>
      </x:c>
      <x:c r="B93" s="48" t="n">
        <x:v>279.69</x:v>
      </x:c>
      <x:c r="C93" s="48" t="n">
        <x:v>318.84</x:v>
      </x:c>
      <x:c r="D93" s="48" t="n">
        <x:v>317.32</x:v>
      </x:c>
      <x:c r="E93" s="48" t="n">
        <x:v>356.43</x:v>
      </x:c>
      <x:c r="F93" s="48" t="n">
        <x:v>164.05</x:v>
      </x:c>
      <x:c r="G93" s="48" t="n">
        <x:v>188.14</x:v>
      </x:c>
      <x:c r="H93" s="49" t="n">
        <x:v>355602.19</x:v>
      </x:c>
      <x:c r="I93" s="49" t="n">
        <x:v>380020.26</x:v>
      </x:c>
      <x:c r="J93" s="48" t="n">
        <x:f>IF(COUNT(B93:C93)&lt;2,"",B93-C93)</x:f>
        <x:v>-39.14999999999998</x:v>
      </x:c>
      <x:c r="K93" s="48" t="n">
        <x:f>IF(COUNT(D93,F93)&lt;2,"",D93-F93)</x:f>
        <x:v>153.26999999999998</x:v>
      </x:c>
      <x:c r="L93" s="48" t="n">
        <x:f>IF(COUNT(E93,G93)&lt;2,"",E93-G93)</x:f>
        <x:v>168.29000000000002</x:v>
      </x:c>
      <x:c r="M93" s="31" t="str">
        <x:v>网站结构化接口</x:v>
      </x:c>
      <x:c r="N93" s="36" t="d">
        <x:v>2026-10-28T14:16:22.777Z</x:v>
      </x:c>
    </x:row>
    <x:row r="94">
      <x:c r="A94" s="36" t="d">
        <x:v>2025-04-03T00:00:00.000Z</x:v>
      </x:c>
      <x:c r="B94" s="48" t="n">
        <x:v>221.9</x:v>
      </x:c>
      <x:c r="C94" s="48" t="n">
        <x:v>250.39</x:v>
      </x:c>
      <x:c r="D94" s="48" t="n">
        <x:v>258.16</x:v>
      </x:c>
      <x:c r="E94" s="48" t="n">
        <x:v>294.01</x:v>
      </x:c>
      <x:c r="F94" s="48" t="n">
        <x:v>139.09</x:v>
      </x:c>
      <x:c r="G94" s="48" t="n">
        <x:v>150.46</x:v>
      </x:c>
      <x:c r="H94" s="49" t="n">
        <x:v>348152.61</x:v>
      </x:c>
      <x:c r="I94" s="49" t="n">
        <x:v>366739.64</x:v>
      </x:c>
      <x:c r="J94" s="48" t="n">
        <x:f>IF(COUNT(B94:C94)&lt;2,"",B94-C94)</x:f>
        <x:v>-28.48999999999998</x:v>
      </x:c>
      <x:c r="K94" s="48" t="n">
        <x:f>IF(COUNT(D94,F94)&lt;2,"",D94-F94)</x:f>
        <x:v>119.07000000000002</x:v>
      </x:c>
      <x:c r="L94" s="48" t="n">
        <x:f>IF(COUNT(E94,G94)&lt;2,"",E94-G94)</x:f>
        <x:v>143.54999999999998</x:v>
      </x:c>
      <x:c r="M94" s="31" t="str">
        <x:v>网站结构化接口</x:v>
      </x:c>
      <x:c r="N94" s="36" t="d">
        <x:v>2026-10-28T14:16:22.777Z</x:v>
      </x:c>
    </x:row>
    <x:row r="95">
      <x:c r="A95" s="36" t="d">
        <x:v>2025-04-04T00:00:00.000Z</x:v>
      </x:c>
      <x:c r="B95" s="48" t="n">
        <x:v>245.51</x:v>
      </x:c>
      <x:c r="C95" s="48" t="n">
        <x:v>245.3</x:v>
      </x:c>
      <x:c r="D95" s="48" t="n">
        <x:v>283.43</x:v>
      </x:c>
      <x:c r="E95" s="48" t="n">
        <x:v>289.69</x:v>
      </x:c>
      <x:c r="F95" s="48" t="n">
        <x:v>155.05</x:v>
      </x:c>
      <x:c r="G95" s="48" t="n">
        <x:v>139.4</x:v>
      </x:c>
      <x:c r="H95" s="49" t="n">
        <x:v>340861</x:v>
      </x:c>
      <x:c r="I95" s="49" t="n">
        <x:v>346259.07</x:v>
      </x:c>
      <x:c r="J95" s="48" t="n">
        <x:f>IF(COUNT(B95:C95)&lt;2,"",B95-C95)</x:f>
        <x:v>0.20999999999997954</x:v>
      </x:c>
      <x:c r="K95" s="48" t="n">
        <x:f>IF(COUNT(D95,F95)&lt;2,"",D95-F95)</x:f>
        <x:v>128.38</x:v>
      </x:c>
      <x:c r="L95" s="48" t="n">
        <x:f>IF(COUNT(E95,G95)&lt;2,"",E95-G95)</x:f>
        <x:v>150.29</x:v>
      </x:c>
      <x:c r="M95" s="31" t="str">
        <x:v>网站结构化接口</x:v>
      </x:c>
      <x:c r="N95" s="36" t="d">
        <x:v>2026-10-28T14:16:22.777Z</x:v>
      </x:c>
    </x:row>
    <x:row r="96">
      <x:c r="A96" s="36" t="d">
        <x:v>2025-04-05T00:00:00.000Z</x:v>
      </x:c>
      <x:c r="B96" s="48" t="n">
        <x:v>298.18</x:v>
      </x:c>
      <x:c r="C96" s="48" t="n">
        <x:v>271.1</x:v>
      </x:c>
      <x:c r="D96" s="48" t="n">
        <x:v>341.03</x:v>
      </x:c>
      <x:c r="E96" s="48" t="n">
        <x:v>312.8</x:v>
      </x:c>
      <x:c r="F96" s="48" t="n">
        <x:v>137.1</x:v>
      </x:c>
      <x:c r="G96" s="48" t="n">
        <x:v>130.64</x:v>
      </x:c>
      <x:c r="H96" s="49" t="n">
        <x:v>359063.27</x:v>
      </x:c>
      <x:c r="I96" s="49" t="n">
        <x:v>363820.26</x:v>
      </x:c>
      <x:c r="J96" s="48" t="n">
        <x:f>IF(COUNT(B96:C96)&lt;2,"",B96-C96)</x:f>
        <x:v>27.079999999999984</x:v>
      </x:c>
      <x:c r="K96" s="48" t="n">
        <x:f>IF(COUNT(D96,F96)&lt;2,"",D96-F96)</x:f>
        <x:v>203.92999999999998</x:v>
      </x:c>
      <x:c r="L96" s="48" t="n">
        <x:f>IF(COUNT(E96,G96)&lt;2,"",E96-G96)</x:f>
        <x:v>182.16000000000003</x:v>
      </x:c>
      <x:c r="M96" s="31" t="str">
        <x:v>网站结构化接口</x:v>
      </x:c>
      <x:c r="N96" s="36" t="d">
        <x:v>2026-10-28T14:16:22.777Z</x:v>
      </x:c>
    </x:row>
    <x:row r="97">
      <x:c r="A97" s="36" t="d">
        <x:v>2025-04-06T00:00:00.000Z</x:v>
      </x:c>
      <x:c r="B97" s="48" t="n">
        <x:v>326.62</x:v>
      </x:c>
      <x:c r="C97" s="48" t="n">
        <x:v>248.8</x:v>
      </x:c>
      <x:c r="D97" s="48" t="n">
        <x:v>376.6</x:v>
      </x:c>
      <x:c r="E97" s="48" t="n">
        <x:v>293.91</x:v>
      </x:c>
      <x:c r="F97" s="48" t="n">
        <x:v>188.89</x:v>
      </x:c>
      <x:c r="G97" s="48" t="n">
        <x:v>140.36</x:v>
      </x:c>
      <x:c r="H97" s="49" t="n">
        <x:v>353710.66</x:v>
      </x:c>
      <x:c r="I97" s="49" t="n">
        <x:v>351322.18</x:v>
      </x:c>
      <x:c r="J97" s="48" t="n">
        <x:f>IF(COUNT(B97:C97)&lt;2,"",B97-C97)</x:f>
        <x:v>77.82</x:v>
      </x:c>
      <x:c r="K97" s="48" t="n">
        <x:f>IF(COUNT(D97,F97)&lt;2,"",D97-F97)</x:f>
        <x:v>187.71000000000004</x:v>
      </x:c>
      <x:c r="L97" s="48" t="n">
        <x:f>IF(COUNT(E97,G97)&lt;2,"",E97-G97)</x:f>
        <x:v>153.55</x:v>
      </x:c>
      <x:c r="M97" s="31" t="str">
        <x:v>网站结构化接口</x:v>
      </x:c>
      <x:c r="N97" s="36" t="d">
        <x:v>2026-10-28T14:16:22.777Z</x:v>
      </x:c>
    </x:row>
    <x:row r="98">
      <x:c r="A98" s="36" t="d">
        <x:v>2025-04-07T00:00:00.000Z</x:v>
      </x:c>
      <x:c r="B98" s="48" t="n">
        <x:v>308.17</x:v>
      </x:c>
      <x:c r="C98" s="48" t="n">
        <x:v>384.46</x:v>
      </x:c>
      <x:c r="D98" s="48" t="n">
        <x:v>350.18</x:v>
      </x:c>
      <x:c r="E98" s="48" t="n">
        <x:v>440.94</x:v>
      </x:c>
      <x:c r="F98" s="48" t="n">
        <x:v>160.84</x:v>
      </x:c>
      <x:c r="G98" s="48" t="n">
        <x:v>184.4</x:v>
      </x:c>
      <x:c r="H98" s="49" t="n">
        <x:v>356275.32</x:v>
      </x:c>
      <x:c r="I98" s="49" t="n">
        <x:v>366846.71</x:v>
      </x:c>
      <x:c r="J98" s="48" t="n">
        <x:f>IF(COUNT(B98:C98)&lt;2,"",B98-C98)</x:f>
        <x:v>-76.28999999999996</x:v>
      </x:c>
      <x:c r="K98" s="48" t="n">
        <x:f>IF(COUNT(D98,F98)&lt;2,"",D98-F98)</x:f>
        <x:v>189.34</x:v>
      </x:c>
      <x:c r="L98" s="48" t="n">
        <x:f>IF(COUNT(E98,G98)&lt;2,"",E98-G98)</x:f>
        <x:v>256.53999999999996</x:v>
      </x:c>
      <x:c r="M98" s="31" t="str">
        <x:v>网站结构化接口</x:v>
      </x:c>
      <x:c r="N98" s="36" t="d">
        <x:v>2026-10-28T14:16:22.777Z</x:v>
      </x:c>
    </x:row>
    <x:row r="99">
      <x:c r="A99" s="36" t="d">
        <x:v>2025-04-08T00:00:00.000Z</x:v>
      </x:c>
      <x:c r="B99" s="48" t="n">
        <x:v>226.59</x:v>
      </x:c>
      <x:c r="C99" s="48" t="n">
        <x:v>272.55</x:v>
      </x:c>
      <x:c r="D99" s="48" t="n">
        <x:v>268.96</x:v>
      </x:c>
      <x:c r="E99" s="48" t="n">
        <x:v>309.12</x:v>
      </x:c>
      <x:c r="F99" s="48" t="n">
        <x:v>127.68</x:v>
      </x:c>
      <x:c r="G99" s="48" t="n">
        <x:v>177.82</x:v>
      </x:c>
      <x:c r="H99" s="49" t="n">
        <x:v>357744.25</x:v>
      </x:c>
      <x:c r="I99" s="49" t="n">
        <x:v>377119.65</x:v>
      </x:c>
      <x:c r="J99" s="48" t="n">
        <x:f>IF(COUNT(B99:C99)&lt;2,"",B99-C99)</x:f>
        <x:v>-45.96000000000001</x:v>
      </x:c>
      <x:c r="K99" s="48" t="n">
        <x:f>IF(COUNT(D99,F99)&lt;2,"",D99-F99)</x:f>
        <x:v>141.27999999999997</x:v>
      </x:c>
      <x:c r="L99" s="48" t="n">
        <x:f>IF(COUNT(E99,G99)&lt;2,"",E99-G99)</x:f>
        <x:v>131.3</x:v>
      </x:c>
      <x:c r="M99" s="31" t="str">
        <x:v>网站结构化接口</x:v>
      </x:c>
      <x:c r="N99" s="36" t="d">
        <x:v>2026-10-28T14:16:22.777Z</x:v>
      </x:c>
    </x:row>
    <x:row r="100">
      <x:c r="A100" s="36" t="d">
        <x:v>2025-04-09T00:00:00.000Z</x:v>
      </x:c>
      <x:c r="B100" s="48" t="n">
        <x:v>215.51</x:v>
      </x:c>
      <x:c r="C100" s="48" t="n">
        <x:v>222.97</x:v>
      </x:c>
      <x:c r="D100" s="48" t="n">
        <x:v>272.67</x:v>
      </x:c>
      <x:c r="E100" s="48" t="n">
        <x:v>279.05</x:v>
      </x:c>
      <x:c r="F100" s="48" t="n">
        <x:v>90.94</x:v>
      </x:c>
      <x:c r="G100" s="48" t="n">
        <x:v>95.6</x:v>
      </x:c>
      <x:c r="H100" s="49" t="n">
        <x:v>355978.55</x:v>
      </x:c>
      <x:c r="I100" s="49" t="n">
        <x:v>361675.83</x:v>
      </x:c>
      <x:c r="J100" s="48" t="n">
        <x:f>IF(COUNT(B100:C100)&lt;2,"",B100-C100)</x:f>
        <x:v>-7.460000000000008</x:v>
      </x:c>
      <x:c r="K100" s="48" t="n">
        <x:f>IF(COUNT(D100,F100)&lt;2,"",D100-F100)</x:f>
        <x:v>181.73000000000002</x:v>
      </x:c>
      <x:c r="L100" s="48" t="n">
        <x:f>IF(COUNT(E100,G100)&lt;2,"",E100-G100)</x:f>
        <x:v>183.45000000000002</x:v>
      </x:c>
      <x:c r="M100" s="31" t="str">
        <x:v>网站结构化接口</x:v>
      </x:c>
      <x:c r="N100" s="36" t="d">
        <x:v>2026-10-28T14:16:22.777Z</x:v>
      </x:c>
    </x:row>
    <x:row r="101">
      <x:c r="A101" s="36" t="d">
        <x:v>2025-04-10T00:00:00.000Z</x:v>
      </x:c>
      <x:c r="B101" s="48" t="n">
        <x:v>216.71</x:v>
      </x:c>
      <x:c r="C101" s="48" t="n">
        <x:v>245.61</x:v>
      </x:c>
      <x:c r="D101" s="48" t="n">
        <x:v>268.02</x:v>
      </x:c>
      <x:c r="E101" s="48" t="n">
        <x:v>292.01</x:v>
      </x:c>
      <x:c r="F101" s="48" t="n">
        <x:v>82.14</x:v>
      </x:c>
      <x:c r="G101" s="48" t="n">
        <x:v>110.33</x:v>
      </x:c>
      <x:c r="H101" s="49" t="n">
        <x:v>315132.3</x:v>
      </x:c>
      <x:c r="I101" s="49" t="n">
        <x:v>321192.19</x:v>
      </x:c>
      <x:c r="J101" s="48" t="n">
        <x:f>IF(COUNT(B101:C101)&lt;2,"",B101-C101)</x:f>
        <x:v>-28.900000000000006</x:v>
      </x:c>
      <x:c r="K101" s="48" t="n">
        <x:f>IF(COUNT(D101,F101)&lt;2,"",D101-F101)</x:f>
        <x:v>185.88</x:v>
      </x:c>
      <x:c r="L101" s="48" t="n">
        <x:f>IF(COUNT(E101,G101)&lt;2,"",E101-G101)</x:f>
        <x:v>181.68</x:v>
      </x:c>
      <x:c r="M101" s="31" t="str">
        <x:v>网站结构化接口</x:v>
      </x:c>
      <x:c r="N101" s="36" t="d">
        <x:v>2026-10-28T14:16:22.777Z</x:v>
      </x:c>
    </x:row>
    <x:row r="102">
      <x:c r="A102" s="36" t="d">
        <x:v>2025-04-11T00:00:00.000Z</x:v>
      </x:c>
      <x:c r="B102" s="48" t="n">
        <x:v>173.53</x:v>
      </x:c>
      <x:c r="C102" s="48" t="n">
        <x:v>200.48</x:v>
      </x:c>
      <x:c r="D102" s="48" t="n">
        <x:v>236.34</x:v>
      </x:c>
      <x:c r="E102" s="48" t="n">
        <x:v>245.83</x:v>
      </x:c>
      <x:c r="F102" s="48" t="n">
        <x:v>80.42</x:v>
      </x:c>
      <x:c r="G102" s="48" t="n">
        <x:v>110.86</x:v>
      </x:c>
      <x:c r="H102" s="49" t="n">
        <x:v>307982.13</x:v>
      </x:c>
      <x:c r="I102" s="49" t="n">
        <x:v>309204.12</x:v>
      </x:c>
      <x:c r="J102" s="48" t="n">
        <x:f>IF(COUNT(B102:C102)&lt;2,"",B102-C102)</x:f>
        <x:v>-26.94999999999999</x:v>
      </x:c>
      <x:c r="K102" s="48" t="n">
        <x:f>IF(COUNT(D102,F102)&lt;2,"",D102-F102)</x:f>
        <x:v>155.92000000000002</x:v>
      </x:c>
      <x:c r="L102" s="48" t="n">
        <x:f>IF(COUNT(E102,G102)&lt;2,"",E102-G102)</x:f>
        <x:v>134.97000000000003</x:v>
      </x:c>
      <x:c r="M102" s="31" t="str">
        <x:v>网站结构化接口</x:v>
      </x:c>
      <x:c r="N102" s="36" t="d">
        <x:v>2026-10-28T14:16:22.777Z</x:v>
      </x:c>
    </x:row>
    <x:row r="103">
      <x:c r="A103" s="36" t="d">
        <x:v>2025-04-12T00:00:00.000Z</x:v>
      </x:c>
      <x:c r="B103" s="48" t="n">
        <x:v>139.53</x:v>
      </x:c>
      <x:c r="C103" s="48" t="n">
        <x:v>155.26</x:v>
      </x:c>
      <x:c r="D103" s="48" t="n">
        <x:v>184.08</x:v>
      </x:c>
      <x:c r="E103" s="48" t="n">
        <x:v>199.5</x:v>
      </x:c>
      <x:c r="F103" s="48" t="n">
        <x:v>77.35</x:v>
      </x:c>
      <x:c r="G103" s="48" t="n">
        <x:v>77.4</x:v>
      </x:c>
      <x:c r="H103" s="49" t="n">
        <x:v>287053.89</x:v>
      </x:c>
      <x:c r="I103" s="49" t="n">
        <x:v>271204.34</x:v>
      </x:c>
      <x:c r="J103" s="48" t="n">
        <x:f>IF(COUNT(B103:C103)&lt;2,"",B103-C103)</x:f>
        <x:v>-15.72999999999999</x:v>
      </x:c>
      <x:c r="K103" s="48" t="n">
        <x:f>IF(COUNT(D103,F103)&lt;2,"",D103-F103)</x:f>
        <x:v>106.73000000000002</x:v>
      </x:c>
      <x:c r="L103" s="48" t="n">
        <x:f>IF(COUNT(E103,G103)&lt;2,"",E103-G103)</x:f>
        <x:v>122.1</x:v>
      </x:c>
      <x:c r="M103" s="31" t="str">
        <x:v>网站结构化接口</x:v>
      </x:c>
      <x:c r="N103" s="36" t="d">
        <x:v>2026-10-28T14:16:22.777Z</x:v>
      </x:c>
    </x:row>
    <x:row r="104">
      <x:c r="A104" s="36" t="d">
        <x:v>2025-04-13T00:00:00.000Z</x:v>
      </x:c>
      <x:c r="B104" s="48" t="n">
        <x:v>91.15</x:v>
      </x:c>
      <x:c r="C104" s="48" t="n">
        <x:v>111.09</x:v>
      </x:c>
      <x:c r="D104" s="48" t="n">
        <x:v>113.56</x:v>
      </x:c>
      <x:c r="E104" s="48" t="n">
        <x:v>141.43</x:v>
      </x:c>
      <x:c r="F104" s="48" t="n">
        <x:v>58.5</x:v>
      </x:c>
      <x:c r="G104" s="48" t="n">
        <x:v>66.94</x:v>
      </x:c>
      <x:c r="H104" s="49" t="n">
        <x:v>289405.26</x:v>
      </x:c>
      <x:c r="I104" s="49" t="n">
        <x:v>278958.35</x:v>
      </x:c>
      <x:c r="J104" s="48" t="n">
        <x:f>IF(COUNT(B104:C104)&lt;2,"",B104-C104)</x:f>
        <x:v>-19.939999999999998</x:v>
      </x:c>
      <x:c r="K104" s="48" t="n">
        <x:f>IF(COUNT(D104,F104)&lt;2,"",D104-F104)</x:f>
        <x:v>55.06</x:v>
      </x:c>
      <x:c r="L104" s="48" t="n">
        <x:f>IF(COUNT(E104,G104)&lt;2,"",E104-G104)</x:f>
        <x:v>74.49000000000001</x:v>
      </x:c>
      <x:c r="M104" s="31" t="str">
        <x:v>网站结构化接口</x:v>
      </x:c>
      <x:c r="N104" s="36" t="d">
        <x:v>2026-10-28T14:16:22.777Z</x:v>
      </x:c>
    </x:row>
    <x:row r="105">
      <x:c r="A105" s="36" t="d">
        <x:v>2025-04-14T00:00:00.000Z</x:v>
      </x:c>
      <x:c r="B105" s="48" t="n">
        <x:v>172.89</x:v>
      </x:c>
      <x:c r="C105" s="48" t="n">
        <x:v>188.36</x:v>
      </x:c>
      <x:c r="D105" s="48" t="n">
        <x:v>218.66</x:v>
      </x:c>
      <x:c r="E105" s="48" t="n">
        <x:v>229.03</x:v>
      </x:c>
      <x:c r="F105" s="48" t="n">
        <x:v>77.98</x:v>
      </x:c>
      <x:c r="G105" s="48" t="n">
        <x:v>107.51</x:v>
      </x:c>
      <x:c r="H105" s="49" t="n">
        <x:v>290581.48</x:v>
      </x:c>
      <x:c r="I105" s="49" t="n">
        <x:v>298251.93</x:v>
      </x:c>
      <x:c r="J105" s="48" t="n">
        <x:f>IF(COUNT(B105:C105)&lt;2,"",B105-C105)</x:f>
        <x:v>-15.470000000000027</x:v>
      </x:c>
      <x:c r="K105" s="48" t="n">
        <x:f>IF(COUNT(D105,F105)&lt;2,"",D105-F105)</x:f>
        <x:v>140.68</x:v>
      </x:c>
      <x:c r="L105" s="48" t="n">
        <x:f>IF(COUNT(E105,G105)&lt;2,"",E105-G105)</x:f>
        <x:v>121.52</x:v>
      </x:c>
      <x:c r="M105" s="31" t="str">
        <x:v>网站结构化接口</x:v>
      </x:c>
      <x:c r="N105" s="36" t="d">
        <x:v>2026-10-28T14:16:22.777Z</x:v>
      </x:c>
    </x:row>
    <x:row r="106">
      <x:c r="A106" s="36" t="d">
        <x:v>2025-04-15T00:00:00.000Z</x:v>
      </x:c>
      <x:c r="B106" s="48" t="n">
        <x:v>213.69</x:v>
      </x:c>
      <x:c r="C106" s="48" t="n">
        <x:v>235.15</x:v>
      </x:c>
      <x:c r="D106" s="48" t="n">
        <x:v>262.16</x:v>
      </x:c>
      <x:c r="E106" s="48" t="n">
        <x:v>283.95</x:v>
      </x:c>
      <x:c r="F106" s="48" t="n">
        <x:v>84.02</x:v>
      </x:c>
      <x:c r="G106" s="48" t="n">
        <x:v>111.95</x:v>
      </x:c>
      <x:c r="H106" s="49" t="n">
        <x:v>309791.78</x:v>
      </x:c>
      <x:c r="I106" s="49" t="n">
        <x:v>304180.91</x:v>
      </x:c>
      <x:c r="J106" s="48" t="n">
        <x:f>IF(COUNT(B106:C106)&lt;2,"",B106-C106)</x:f>
        <x:v>-21.460000000000008</x:v>
      </x:c>
      <x:c r="K106" s="48" t="n">
        <x:f>IF(COUNT(D106,F106)&lt;2,"",D106-F106)</x:f>
        <x:v>178.14000000000004</x:v>
      </x:c>
      <x:c r="L106" s="48" t="n">
        <x:f>IF(COUNT(E106,G106)&lt;2,"",E106-G106)</x:f>
        <x:v>172</x:v>
      </x:c>
      <x:c r="M106" s="31" t="str">
        <x:v>网站结构化接口</x:v>
      </x:c>
      <x:c r="N106" s="36" t="d">
        <x:v>2026-10-28T14:16:22.777Z</x:v>
      </x:c>
    </x:row>
    <x:row r="107">
      <x:c r="A107" s="36" t="d">
        <x:v>2025-04-16T00:00:00.000Z</x:v>
      </x:c>
      <x:c r="B107" s="48" t="n">
        <x:v>182.71</x:v>
      </x:c>
      <x:c r="C107" s="48" t="n">
        <x:v>223.13</x:v>
      </x:c>
      <x:c r="D107" s="48" t="n">
        <x:v>243.18</x:v>
      </x:c>
      <x:c r="E107" s="48" t="n">
        <x:v>272.49</x:v>
      </x:c>
      <x:c r="F107" s="48" t="n">
        <x:v>71.97</x:v>
      </x:c>
      <x:c r="G107" s="48" t="n">
        <x:v>122.44</x:v>
      </x:c>
      <x:c r="H107" s="49" t="n">
        <x:v>302456.13</x:v>
      </x:c>
      <x:c r="I107" s="49" t="n">
        <x:v>310734.16</x:v>
      </x:c>
      <x:c r="J107" s="48" t="n">
        <x:f>IF(COUNT(B107:C107)&lt;2,"",B107-C107)</x:f>
        <x:v>-40.41999999999999</x:v>
      </x:c>
      <x:c r="K107" s="48" t="n">
        <x:f>IF(COUNT(D107,F107)&lt;2,"",D107-F107)</x:f>
        <x:v>171.21</x:v>
      </x:c>
      <x:c r="L107" s="48" t="n">
        <x:f>IF(COUNT(E107,G107)&lt;2,"",E107-G107)</x:f>
        <x:v>150.05</x:v>
      </x:c>
      <x:c r="M107" s="31" t="str">
        <x:v>网站结构化接口</x:v>
      </x:c>
      <x:c r="N107" s="36" t="d">
        <x:v>2026-10-28T14:16:22.777Z</x:v>
      </x:c>
    </x:row>
    <x:row r="108">
      <x:c r="A108" s="36" t="d">
        <x:v>2025-04-17T00:00:00.000Z</x:v>
      </x:c>
      <x:c r="B108" s="48" t="n">
        <x:v>209.66</x:v>
      </x:c>
      <x:c r="C108" s="48" t="n">
        <x:v>217.86</x:v>
      </x:c>
      <x:c r="D108" s="48" t="n">
        <x:v>240.79</x:v>
      </x:c>
      <x:c r="E108" s="48" t="n">
        <x:v>252.61</x:v>
      </x:c>
      <x:c r="F108" s="48" t="n">
        <x:v>136.27</x:v>
      </x:c>
      <x:c r="G108" s="48" t="n">
        <x:v>134.3</x:v>
      </x:c>
      <x:c r="H108" s="49" t="n">
        <x:v>298069.61</x:v>
      </x:c>
      <x:c r="I108" s="49" t="n">
        <x:v>296851.2</x:v>
      </x:c>
      <x:c r="J108" s="48" t="n">
        <x:f>IF(COUNT(B108:C108)&lt;2,"",B108-C108)</x:f>
        <x:v>-8.200000000000017</x:v>
      </x:c>
      <x:c r="K108" s="48" t="n">
        <x:f>IF(COUNT(D108,F108)&lt;2,"",D108-F108)</x:f>
        <x:v>104.51999999999998</x:v>
      </x:c>
      <x:c r="L108" s="48" t="n">
        <x:f>IF(COUNT(E108,G108)&lt;2,"",E108-G108)</x:f>
        <x:v>118.31</x:v>
      </x:c>
      <x:c r="M108" s="31" t="str">
        <x:v>网站结构化接口</x:v>
      </x:c>
      <x:c r="N108" s="36" t="d">
        <x:v>2026-10-28T14:16:22.777Z</x:v>
      </x:c>
    </x:row>
    <x:row r="109">
      <x:c r="A109" s="36" t="d">
        <x:v>2025-04-18T00:00:00.000Z</x:v>
      </x:c>
      <x:c r="B109" s="48" t="n">
        <x:v>244.97</x:v>
      </x:c>
      <x:c r="C109" s="48" t="n">
        <x:v>261.62</x:v>
      </x:c>
      <x:c r="D109" s="48" t="n">
        <x:v>276.59</x:v>
      </x:c>
      <x:c r="E109" s="48" t="n">
        <x:v>293.77</x:v>
      </x:c>
      <x:c r="F109" s="48" t="n">
        <x:v>168.44</x:v>
      </x:c>
      <x:c r="G109" s="48" t="n">
        <x:v>182.9</x:v>
      </x:c>
      <x:c r="H109" s="49" t="n">
        <x:v>300908.47</x:v>
      </x:c>
      <x:c r="I109" s="49" t="n">
        <x:v>312847.47</x:v>
      </x:c>
      <x:c r="J109" s="48" t="n">
        <x:f>IF(COUNT(B109:C109)&lt;2,"",B109-C109)</x:f>
        <x:v>-16.650000000000006</x:v>
      </x:c>
      <x:c r="K109" s="48" t="n">
        <x:f>IF(COUNT(D109,F109)&lt;2,"",D109-F109)</x:f>
        <x:v>108.14999999999998</x:v>
      </x:c>
      <x:c r="L109" s="48" t="n">
        <x:f>IF(COUNT(E109,G109)&lt;2,"",E109-G109)</x:f>
        <x:v>110.86999999999998</x:v>
      </x:c>
      <x:c r="M109" s="31" t="str">
        <x:v>网站结构化接口</x:v>
      </x:c>
      <x:c r="N109" s="36" t="d">
        <x:v>2026-10-28T14:16:22.777Z</x:v>
      </x:c>
    </x:row>
    <x:row r="110">
      <x:c r="A110" s="36" t="d">
        <x:v>2025-04-19T00:00:00.000Z</x:v>
      </x:c>
      <x:c r="B110" s="48" t="n">
        <x:v>230.48</x:v>
      </x:c>
      <x:c r="C110" s="48" t="n">
        <x:v>219.53</x:v>
      </x:c>
      <x:c r="D110" s="48" t="n">
        <x:v>253.97</x:v>
      </x:c>
      <x:c r="E110" s="48" t="n">
        <x:v>251.58</x:v>
      </x:c>
      <x:c r="F110" s="48" t="n">
        <x:v>176.29</x:v>
      </x:c>
      <x:c r="G110" s="48" t="n">
        <x:v>147.65</x:v>
      </x:c>
      <x:c r="H110" s="49" t="n">
        <x:v>312315.7</x:v>
      </x:c>
      <x:c r="I110" s="49" t="n">
        <x:v>317820.4</x:v>
      </x:c>
      <x:c r="J110" s="48" t="n">
        <x:f>IF(COUNT(B110:C110)&lt;2,"",B110-C110)</x:f>
        <x:v>10.949999999999989</x:v>
      </x:c>
      <x:c r="K110" s="48" t="n">
        <x:f>IF(COUNT(D110,F110)&lt;2,"",D110-F110)</x:f>
        <x:v>77.68</x:v>
      </x:c>
      <x:c r="L110" s="48" t="n">
        <x:f>IF(COUNT(E110,G110)&lt;2,"",E110-G110)</x:f>
        <x:v>103.93</x:v>
      </x:c>
      <x:c r="M110" s="31" t="str">
        <x:v>网站结构化接口</x:v>
      </x:c>
      <x:c r="N110" s="36" t="d">
        <x:v>2026-10-28T14:16:22.777Z</x:v>
      </x:c>
    </x:row>
    <x:row r="111">
      <x:c r="A111" s="36" t="d">
        <x:v>2025-04-20T00:00:00.000Z</x:v>
      </x:c>
      <x:c r="B111" s="48" t="n">
        <x:v>127.04</x:v>
      </x:c>
      <x:c r="C111" s="48" t="n">
        <x:v>131.91</x:v>
      </x:c>
      <x:c r="D111" s="48" t="n">
        <x:v>163.27</x:v>
      </x:c>
      <x:c r="E111" s="48" t="n">
        <x:v>171.06</x:v>
      </x:c>
      <x:c r="F111" s="48" t="n">
        <x:v>73.37</x:v>
      </x:c>
      <x:c r="G111" s="48" t="n">
        <x:v>74.07</x:v>
      </x:c>
      <x:c r="H111" s="49" t="n">
        <x:v>306940.05</x:v>
      </x:c>
      <x:c r="I111" s="49" t="n">
        <x:v>296108.62</x:v>
      </x:c>
      <x:c r="J111" s="48" t="n">
        <x:f>IF(COUNT(B111:C111)&lt;2,"",B111-C111)</x:f>
        <x:v>-4.86999999999999</x:v>
      </x:c>
      <x:c r="K111" s="48" t="n">
        <x:f>IF(COUNT(D111,F111)&lt;2,"",D111-F111)</x:f>
        <x:v>89.9</x:v>
      </x:c>
      <x:c r="L111" s="48" t="n">
        <x:f>IF(COUNT(E111,G111)&lt;2,"",E111-G111)</x:f>
        <x:v>96.99000000000001</x:v>
      </x:c>
      <x:c r="M111" s="31" t="str">
        <x:v>网站结构化接口</x:v>
      </x:c>
      <x:c r="N111" s="36" t="d">
        <x:v>2026-10-28T14:16:22.777Z</x:v>
      </x:c>
    </x:row>
    <x:row r="112">
      <x:c r="A112" s="36" t="d">
        <x:v>2025-04-21T00:00:00.000Z</x:v>
      </x:c>
      <x:c r="B112" s="48" t="n">
        <x:v>244.42</x:v>
      </x:c>
      <x:c r="C112" s="48" t="n">
        <x:v>195.08</x:v>
      </x:c>
      <x:c r="D112" s="48" t="n">
        <x:v>308.64</x:v>
      </x:c>
      <x:c r="E112" s="48" t="n">
        <x:v>243.9</x:v>
      </x:c>
      <x:c r="F112" s="48" t="n">
        <x:v>128.62</x:v>
      </x:c>
      <x:c r="G112" s="48" t="n">
        <x:v>105.25</x:v>
      </x:c>
      <x:c r="H112" s="49" t="n">
        <x:v>345822.71</x:v>
      </x:c>
      <x:c r="I112" s="49" t="n">
        <x:v>305712.55</x:v>
      </x:c>
      <x:c r="J112" s="48" t="n">
        <x:f>IF(COUNT(B112:C112)&lt;2,"",B112-C112)</x:f>
        <x:v>49.339999999999975</x:v>
      </x:c>
      <x:c r="K112" s="48" t="n">
        <x:f>IF(COUNT(D112,F112)&lt;2,"",D112-F112)</x:f>
        <x:v>180.01999999999998</x:v>
      </x:c>
      <x:c r="L112" s="48" t="n">
        <x:f>IF(COUNT(E112,G112)&lt;2,"",E112-G112)</x:f>
        <x:v>138.65</x:v>
      </x:c>
      <x:c r="M112" s="31" t="str">
        <x:v>网站结构化接口</x:v>
      </x:c>
      <x:c r="N112" s="36" t="d">
        <x:v>2026-10-28T14:16:22.777Z</x:v>
      </x:c>
    </x:row>
    <x:row r="113">
      <x:c r="A113" s="36" t="d">
        <x:v>2025-04-22T00:00:00.000Z</x:v>
      </x:c>
      <x:c r="B113" s="48" t="n">
        <x:v>237.09</x:v>
      </x:c>
      <x:c r="C113" s="48" t="n">
        <x:v>257.87</x:v>
      </x:c>
      <x:c r="D113" s="48" t="n">
        <x:v>267.63</x:v>
      </x:c>
      <x:c r="E113" s="48" t="n">
        <x:v>284.54</x:v>
      </x:c>
      <x:c r="F113" s="48" t="n">
        <x:v>151.83</x:v>
      </x:c>
      <x:c r="G113" s="48" t="n">
        <x:v>184.49</x:v>
      </x:c>
      <x:c r="H113" s="49" t="n">
        <x:v>322951.9</x:v>
      </x:c>
      <x:c r="I113" s="49" t="n">
        <x:v>323440.77</x:v>
      </x:c>
      <x:c r="J113" s="48" t="n">
        <x:f>IF(COUNT(B113:C113)&lt;2,"",B113-C113)</x:f>
        <x:v>-20.78</x:v>
      </x:c>
      <x:c r="K113" s="48" t="n">
        <x:f>IF(COUNT(D113,F113)&lt;2,"",D113-F113)</x:f>
        <x:v>115.79999999999998</x:v>
      </x:c>
      <x:c r="L113" s="48" t="n">
        <x:f>IF(COUNT(E113,G113)&lt;2,"",E113-G113)</x:f>
        <x:v>100.05000000000001</x:v>
      </x:c>
      <x:c r="M113" s="31" t="str">
        <x:v>网站结构化接口</x:v>
      </x:c>
      <x:c r="N113" s="36" t="d">
        <x:v>2026-10-28T14:16:22.777Z</x:v>
      </x:c>
    </x:row>
    <x:row r="114">
      <x:c r="A114" s="36" t="d">
        <x:v>2025-04-23T00:00:00.000Z</x:v>
      </x:c>
      <x:c r="B114" s="48" t="n">
        <x:v>217.29</x:v>
      </x:c>
      <x:c r="C114" s="48" t="n">
        <x:v>222.04</x:v>
      </x:c>
      <x:c r="D114" s="48" t="n">
        <x:v>264.24</x:v>
      </x:c>
      <x:c r="E114" s="48" t="n">
        <x:v>268.78</x:v>
      </x:c>
      <x:c r="F114" s="48" t="n">
        <x:v>126.74</x:v>
      </x:c>
      <x:c r="G114" s="48" t="n">
        <x:v>136.6</x:v>
      </x:c>
      <x:c r="H114" s="49" t="n">
        <x:v>340773.14</x:v>
      </x:c>
      <x:c r="I114" s="49" t="n">
        <x:v>347353.57</x:v>
      </x:c>
      <x:c r="J114" s="48" t="n">
        <x:f>IF(COUNT(B114:C114)&lt;2,"",B114-C114)</x:f>
        <x:v>-4.75</x:v>
      </x:c>
      <x:c r="K114" s="48" t="n">
        <x:f>IF(COUNT(D114,F114)&lt;2,"",D114-F114)</x:f>
        <x:v>137.5</x:v>
      </x:c>
      <x:c r="L114" s="48" t="n">
        <x:f>IF(COUNT(E114,G114)&lt;2,"",E114-G114)</x:f>
        <x:v>132.17999999999998</x:v>
      </x:c>
      <x:c r="M114" s="31" t="str">
        <x:v>网站结构化接口</x:v>
      </x:c>
      <x:c r="N114" s="36" t="d">
        <x:v>2026-10-28T14:16:22.777Z</x:v>
      </x:c>
    </x:row>
    <x:row r="115">
      <x:c r="A115" s="36" t="d">
        <x:v>2025-04-24T00:00:00.000Z</x:v>
      </x:c>
      <x:c r="B115" s="48" t="n">
        <x:v>234.48</x:v>
      </x:c>
      <x:c r="C115" s="48" t="n">
        <x:v>243.27</x:v>
      </x:c>
      <x:c r="D115" s="48" t="n">
        <x:v>272.34</x:v>
      </x:c>
      <x:c r="E115" s="48" t="n">
        <x:v>278.86</x:v>
      </x:c>
      <x:c r="F115" s="48" t="n">
        <x:v>146.23</x:v>
      </x:c>
      <x:c r="G115" s="48" t="n">
        <x:v>144.68</x:v>
      </x:c>
      <x:c r="H115" s="49" t="n">
        <x:v>339000.99</x:v>
      </x:c>
      <x:c r="I115" s="49" t="n">
        <x:v>331692.38</x:v>
      </x:c>
      <x:c r="J115" s="48" t="n">
        <x:f>IF(COUNT(B115:C115)&lt;2,"",B115-C115)</x:f>
        <x:v>-8.79000000000002</x:v>
      </x:c>
      <x:c r="K115" s="48" t="n">
        <x:f>IF(COUNT(D115,F115)&lt;2,"",D115-F115)</x:f>
        <x:v>126.10999999999999</x:v>
      </x:c>
      <x:c r="L115" s="48" t="n">
        <x:f>IF(COUNT(E115,G115)&lt;2,"",E115-G115)</x:f>
        <x:v>134.18</x:v>
      </x:c>
      <x:c r="M115" s="31" t="str">
        <x:v>网站结构化接口</x:v>
      </x:c>
      <x:c r="N115" s="36" t="d">
        <x:v>2026-10-28T14:16:22.777Z</x:v>
      </x:c>
    </x:row>
    <x:row r="116">
      <x:c r="A116" s="36" t="d">
        <x:v>2025-04-25T00:00:00.000Z</x:v>
      </x:c>
      <x:c r="B116" s="48" t="n">
        <x:v>211.19</x:v>
      </x:c>
      <x:c r="C116" s="48" t="n">
        <x:v>241.52</x:v>
      </x:c>
      <x:c r="D116" s="48" t="n">
        <x:v>251.09</x:v>
      </x:c>
      <x:c r="E116" s="48" t="n">
        <x:v>287.51</x:v>
      </x:c>
      <x:c r="F116" s="48" t="n">
        <x:v>140.14</x:v>
      </x:c>
      <x:c r="G116" s="48" t="n">
        <x:v>152.21</x:v>
      </x:c>
      <x:c r="H116" s="49" t="n">
        <x:v>343996.57</x:v>
      </x:c>
      <x:c r="I116" s="49" t="n">
        <x:v>346622.15</x:v>
      </x:c>
      <x:c r="J116" s="48" t="n">
        <x:f>IF(COUNT(B116:C116)&lt;2,"",B116-C116)</x:f>
        <x:v>-30.330000000000013</x:v>
      </x:c>
      <x:c r="K116" s="48" t="n">
        <x:f>IF(COUNT(D116,F116)&lt;2,"",D116-F116)</x:f>
        <x:v>110.95000000000002</x:v>
      </x:c>
      <x:c r="L116" s="48" t="n">
        <x:f>IF(COUNT(E116,G116)&lt;2,"",E116-G116)</x:f>
        <x:v>135.29999999999998</x:v>
      </x:c>
      <x:c r="M116" s="31" t="str">
        <x:v>网站结构化接口</x:v>
      </x:c>
      <x:c r="N116" s="36" t="d">
        <x:v>2026-10-28T14:16:22.777Z</x:v>
      </x:c>
    </x:row>
    <x:row r="117">
      <x:c r="A117" s="36" t="d">
        <x:v>2025-04-26T00:00:00.000Z</x:v>
      </x:c>
      <x:c r="B117" s="48" t="n">
        <x:v>247.85</x:v>
      </x:c>
      <x:c r="C117" s="48" t="n">
        <x:v>276.88</x:v>
      </x:c>
      <x:c r="D117" s="48" t="n">
        <x:v>278.31</x:v>
      </x:c>
      <x:c r="E117" s="48" t="n">
        <x:v>291.17</x:v>
      </x:c>
      <x:c r="F117" s="48" t="n">
        <x:v>167.15</x:v>
      </x:c>
      <x:c r="G117" s="48" t="n">
        <x:v>234.92</x:v>
      </x:c>
      <x:c r="H117" s="49" t="n">
        <x:v>343957.31</x:v>
      </x:c>
      <x:c r="I117" s="49" t="n">
        <x:v>360507.87</x:v>
      </x:c>
      <x:c r="J117" s="48" t="n">
        <x:f>IF(COUNT(B117:C117)&lt;2,"",B117-C117)</x:f>
        <x:v>-29.03</x:v>
      </x:c>
      <x:c r="K117" s="48" t="n">
        <x:f>IF(COUNT(D117,F117)&lt;2,"",D117-F117)</x:f>
        <x:v>111.16</x:v>
      </x:c>
      <x:c r="L117" s="48" t="n">
        <x:f>IF(COUNT(E117,G117)&lt;2,"",E117-G117)</x:f>
        <x:v>56.25000000000003</x:v>
      </x:c>
      <x:c r="M117" s="31" t="str">
        <x:v>网站结构化接口</x:v>
      </x:c>
      <x:c r="N117" s="36" t="d">
        <x:v>2026-10-28T14:16:22.777Z</x:v>
      </x:c>
    </x:row>
    <x:row r="118">
      <x:c r="A118" s="36" t="d">
        <x:v>2025-04-27T00:00:00.000Z</x:v>
      </x:c>
      <x:c r="B118" s="48" t="n">
        <x:v>188.97</x:v>
      </x:c>
      <x:c r="C118" s="48" t="n">
        <x:v>198.41</x:v>
      </x:c>
      <x:c r="D118" s="48" t="n">
        <x:v>236.1</x:v>
      </x:c>
      <x:c r="E118" s="48" t="n">
        <x:v>238.21</x:v>
      </x:c>
      <x:c r="F118" s="48" t="n">
        <x:v>92.07</x:v>
      </x:c>
      <x:c r="G118" s="48" t="n">
        <x:v>119.66</x:v>
      </x:c>
      <x:c r="H118" s="49" t="n">
        <x:v>332893.19</x:v>
      </x:c>
      <x:c r="I118" s="49" t="n">
        <x:v>340693.21</x:v>
      </x:c>
      <x:c r="J118" s="48" t="n">
        <x:f>IF(COUNT(B118:C118)&lt;2,"",B118-C118)</x:f>
        <x:v>-9.439999999999998</x:v>
      </x:c>
      <x:c r="K118" s="48" t="n">
        <x:f>IF(COUNT(D118,F118)&lt;2,"",D118-F118)</x:f>
        <x:v>144.03</x:v>
      </x:c>
      <x:c r="L118" s="48" t="n">
        <x:f>IF(COUNT(E118,G118)&lt;2,"",E118-G118)</x:f>
        <x:v>118.55000000000001</x:v>
      </x:c>
      <x:c r="M118" s="31" t="str">
        <x:v>网站结构化接口</x:v>
      </x:c>
      <x:c r="N118" s="36" t="d">
        <x:v>2026-10-28T14:16:22.777Z</x:v>
      </x:c>
    </x:row>
    <x:row r="119">
      <x:c r="A119" s="36" t="d">
        <x:v>2025-04-28T00:00:00.000Z</x:v>
      </x:c>
      <x:c r="B119" s="48" t="n">
        <x:v>270.59</x:v>
      </x:c>
      <x:c r="C119" s="48" t="n">
        <x:v>235.08</x:v>
      </x:c>
      <x:c r="D119" s="48" t="n">
        <x:v>312.62</x:v>
      </x:c>
      <x:c r="E119" s="48" t="n">
        <x:v>272.45</x:v>
      </x:c>
      <x:c r="F119" s="48" t="n">
        <x:v>124.82</x:v>
      </x:c>
      <x:c r="G119" s="48" t="n">
        <x:v>120.37</x:v>
      </x:c>
      <x:c r="H119" s="49" t="n">
        <x:v>336612.93</x:v>
      </x:c>
      <x:c r="I119" s="49" t="n">
        <x:v>340663.57</x:v>
      </x:c>
      <x:c r="J119" s="48" t="n">
        <x:f>IF(COUNT(B119:C119)&lt;2,"",B119-C119)</x:f>
        <x:v>35.50999999999996</x:v>
      </x:c>
      <x:c r="K119" s="48" t="n">
        <x:f>IF(COUNT(D119,F119)&lt;2,"",D119-F119)</x:f>
        <x:v>187.8</x:v>
      </x:c>
      <x:c r="L119" s="48" t="n">
        <x:f>IF(COUNT(E119,G119)&lt;2,"",E119-G119)</x:f>
        <x:v>152.07999999999998</x:v>
      </x:c>
      <x:c r="M119" s="31" t="str">
        <x:v>网站结构化接口</x:v>
      </x:c>
      <x:c r="N119" s="36" t="d">
        <x:v>2026-10-28T14:16:22.777Z</x:v>
      </x:c>
    </x:row>
    <x:row r="120">
      <x:c r="A120" s="36" t="d">
        <x:v>2025-04-29T00:00:00.000Z</x:v>
      </x:c>
      <x:c r="B120" s="48" t="n">
        <x:v>180.95</x:v>
      </x:c>
      <x:c r="C120" s="48" t="n">
        <x:v>173.7</x:v>
      </x:c>
      <x:c r="D120" s="48" t="n">
        <x:v>220.62</x:v>
      </x:c>
      <x:c r="E120" s="48" t="n">
        <x:v>213.94</x:v>
      </x:c>
      <x:c r="F120" s="48" t="n">
        <x:v>105.65</x:v>
      </x:c>
      <x:c r="G120" s="48" t="n">
        <x:v>93.44</x:v>
      </x:c>
      <x:c r="H120" s="49" t="n">
        <x:v>335806.8</x:v>
      </x:c>
      <x:c r="I120" s="49" t="n">
        <x:v>330837.52</x:v>
      </x:c>
      <x:c r="J120" s="48" t="n">
        <x:f>IF(COUNT(B120:C120)&lt;2,"",B120-C120)</x:f>
        <x:v>7.25</x:v>
      </x:c>
      <x:c r="K120" s="48" t="n">
        <x:f>IF(COUNT(D120,F120)&lt;2,"",D120-F120)</x:f>
        <x:v>114.97</x:v>
      </x:c>
      <x:c r="L120" s="48" t="n">
        <x:f>IF(COUNT(E120,G120)&lt;2,"",E120-G120)</x:f>
        <x:v>120.5</x:v>
      </x:c>
      <x:c r="M120" s="31" t="str">
        <x:v>网站结构化接口</x:v>
      </x:c>
      <x:c r="N120" s="36" t="d">
        <x:v>2026-10-28T14:16:22.777Z</x:v>
      </x:c>
    </x:row>
    <x:row r="121">
      <x:c r="A121" s="36" t="d">
        <x:v>2025-04-30T00:00:00.000Z</x:v>
      </x:c>
      <x:c r="B121" s="48" t="n">
        <x:v>227.38</x:v>
      </x:c>
      <x:c r="C121" s="48" t="n">
        <x:v>196.89</x:v>
      </x:c>
      <x:c r="D121" s="48" t="n">
        <x:v>262.93</x:v>
      </x:c>
      <x:c r="E121" s="48" t="n">
        <x:v>249.63</x:v>
      </x:c>
      <x:c r="F121" s="48" t="n">
        <x:v>167.26</x:v>
      </x:c>
      <x:c r="G121" s="48" t="n">
        <x:v>113.48</x:v>
      </x:c>
      <x:c r="H121" s="49" t="n">
        <x:v>341979.06</x:v>
      </x:c>
      <x:c r="I121" s="49" t="n">
        <x:v>346626.66</x:v>
      </x:c>
      <x:c r="J121" s="48" t="n">
        <x:f>IF(COUNT(B121:C121)&lt;2,"",B121-C121)</x:f>
        <x:v>30.49000000000001</x:v>
      </x:c>
      <x:c r="K121" s="48" t="n">
        <x:f>IF(COUNT(D121,F121)&lt;2,"",D121-F121)</x:f>
        <x:v>95.67000000000002</x:v>
      </x:c>
      <x:c r="L121" s="48" t="n">
        <x:f>IF(COUNT(E121,G121)&lt;2,"",E121-G121)</x:f>
        <x:v>136.14999999999998</x:v>
      </x:c>
      <x:c r="M121" s="31" t="str">
        <x:v>网站结构化接口</x:v>
      </x:c>
      <x:c r="N121" s="36" t="d">
        <x:v>2026-10-28T14:16:22.777Z</x:v>
      </x:c>
    </x:row>
    <x:row r="122">
      <x:c r="A122" s="36" t="d">
        <x:v>2025-05-01T00:00:00.000Z</x:v>
      </x:c>
      <x:c r="B122" s="48" t="n">
        <x:v>208</x:v>
      </x:c>
      <x:c r="C122" s="48" t="n">
        <x:v>209.85</x:v>
      </x:c>
      <x:c r="D122" s="48" t="n">
        <x:v>236.12</x:v>
      </x:c>
      <x:c r="E122" s="48" t="n">
        <x:v>251.38</x:v>
      </x:c>
      <x:c r="F122" s="48" t="n">
        <x:v>135.29</x:v>
      </x:c>
      <x:c r="G122" s="48" t="n">
        <x:v>117.28</x:v>
      </x:c>
      <x:c r="H122" s="49" t="n">
        <x:v>325114.56</x:v>
      </x:c>
      <x:c r="I122" s="49" t="n">
        <x:v>333042.67</x:v>
      </x:c>
      <x:c r="J122" s="48" t="n">
        <x:f>IF(COUNT(B122:C122)&lt;2,"",B122-C122)</x:f>
        <x:v>-1.8499999999999943</x:v>
      </x:c>
      <x:c r="K122" s="48" t="n">
        <x:f>IF(COUNT(D122,F122)&lt;2,"",D122-F122)</x:f>
        <x:v>100.83000000000001</x:v>
      </x:c>
      <x:c r="L122" s="48" t="n">
        <x:f>IF(COUNT(E122,G122)&lt;2,"",E122-G122)</x:f>
        <x:v>134.1</x:v>
      </x:c>
      <x:c r="M122" s="31" t="str">
        <x:v>网站结构化接口</x:v>
      </x:c>
      <x:c r="N122" s="36" t="d">
        <x:v>2026-10-28T14:16:22.777Z</x:v>
      </x:c>
    </x:row>
    <x:row r="123">
      <x:c r="A123" s="36" t="d">
        <x:v>2025-05-02T00:00:00.000Z</x:v>
      </x:c>
      <x:c r="B123" s="48" t="n">
        <x:v>357.26</x:v>
      </x:c>
      <x:c r="C123" s="48" t="n">
        <x:v>327</x:v>
      </x:c>
      <x:c r="D123" s="48" t="n">
        <x:v>402.56</x:v>
      </x:c>
      <x:c r="E123" s="48" t="n">
        <x:v>375.7</x:v>
      </x:c>
      <x:c r="F123" s="48" t="n">
        <x:v>283.24</x:v>
      </x:c>
      <x:c r="G123" s="48" t="n">
        <x:v>248.65</x:v>
      </x:c>
      <x:c r="H123" s="49" t="n">
        <x:v>326636.51</x:v>
      </x:c>
      <x:c r="I123" s="49" t="n">
        <x:v>354799.55</x:v>
      </x:c>
      <x:c r="J123" s="48" t="n">
        <x:f>IF(COUNT(B123:C123)&lt;2,"",B123-C123)</x:f>
        <x:v>30.25999999999999</x:v>
      </x:c>
      <x:c r="K123" s="48" t="n">
        <x:f>IF(COUNT(D123,F123)&lt;2,"",D123-F123)</x:f>
        <x:v>119.32</x:v>
      </x:c>
      <x:c r="L123" s="48" t="n">
        <x:f>IF(COUNT(E123,G123)&lt;2,"",E123-G123)</x:f>
        <x:v>127.04999999999998</x:v>
      </x:c>
      <x:c r="M123" s="31" t="str">
        <x:v>网站结构化接口</x:v>
      </x:c>
      <x:c r="N123" s="36" t="d">
        <x:v>2026-10-28T14:16:22.777Z</x:v>
      </x:c>
    </x:row>
    <x:row r="124">
      <x:c r="A124" s="36" t="d">
        <x:v>2025-05-03T00:00:00.000Z</x:v>
      </x:c>
      <x:c r="B124" s="48" t="n">
        <x:v>227.84</x:v>
      </x:c>
      <x:c r="C124" s="48" t="n">
        <x:v>241.97</x:v>
      </x:c>
      <x:c r="D124" s="48" t="n">
        <x:v>263.1</x:v>
      </x:c>
      <x:c r="E124" s="48" t="n">
        <x:v>272.53</x:v>
      </x:c>
      <x:c r="F124" s="48" t="n">
        <x:v>160.66</x:v>
      </x:c>
      <x:c r="G124" s="48" t="n">
        <x:v>168.36</x:v>
      </x:c>
      <x:c r="H124" s="49" t="n">
        <x:v>323874.17</x:v>
      </x:c>
      <x:c r="I124" s="49" t="n">
        <x:v>350599.73</x:v>
      </x:c>
      <x:c r="J124" s="48" t="n">
        <x:f>IF(COUNT(B124:C124)&lt;2,"",B124-C124)</x:f>
        <x:v>-14.129999999999995</x:v>
      </x:c>
      <x:c r="K124" s="48" t="n">
        <x:f>IF(COUNT(D124,F124)&lt;2,"",D124-F124)</x:f>
        <x:v>102.44000000000003</x:v>
      </x:c>
      <x:c r="L124" s="48" t="n">
        <x:f>IF(COUNT(E124,G124)&lt;2,"",E124-G124)</x:f>
        <x:v>104.16999999999996</x:v>
      </x:c>
      <x:c r="M124" s="31" t="str">
        <x:v>网站结构化接口</x:v>
      </x:c>
      <x:c r="N124" s="36" t="d">
        <x:v>2026-10-28T14:16:22.777Z</x:v>
      </x:c>
    </x:row>
    <x:row r="125">
      <x:c r="A125" s="36" t="d">
        <x:v>2025-05-04T00:00:00.000Z</x:v>
      </x:c>
      <x:c r="B125" s="48" t="n">
        <x:v>252.81</x:v>
      </x:c>
      <x:c r="C125" s="48" t="n">
        <x:v>286.62</x:v>
      </x:c>
      <x:c r="D125" s="48" t="n">
        <x:v>283.89</x:v>
      </x:c>
      <x:c r="E125" s="48" t="n">
        <x:v>314.68</x:v>
      </x:c>
      <x:c r="F125" s="48" t="n">
        <x:v>196.92</x:v>
      </x:c>
      <x:c r="G125" s="48" t="n">
        <x:v>234.2</x:v>
      </x:c>
      <x:c r="H125" s="49" t="n">
        <x:v>345447.53</x:v>
      </x:c>
      <x:c r="I125" s="49" t="n">
        <x:v>364352.67</x:v>
      </x:c>
      <x:c r="J125" s="48" t="n">
        <x:f>IF(COUNT(B125:C125)&lt;2,"",B125-C125)</x:f>
        <x:v>-33.81</x:v>
      </x:c>
      <x:c r="K125" s="48" t="n">
        <x:f>IF(COUNT(D125,F125)&lt;2,"",D125-F125)</x:f>
        <x:v>86.97</x:v>
      </x:c>
      <x:c r="L125" s="48" t="n">
        <x:f>IF(COUNT(E125,G125)&lt;2,"",E125-G125)</x:f>
        <x:v>80.48000000000002</x:v>
      </x:c>
      <x:c r="M125" s="31" t="str">
        <x:v>网站结构化接口</x:v>
      </x:c>
      <x:c r="N125" s="36" t="d">
        <x:v>2026-10-28T14:16:22.777Z</x:v>
      </x:c>
    </x:row>
    <x:row r="126">
      <x:c r="A126" s="36" t="d">
        <x:v>2025-05-05T00:00:00.000Z</x:v>
      </x:c>
      <x:c r="B126" s="48" t="n">
        <x:v>254.76</x:v>
      </x:c>
      <x:c r="C126" s="48" t="n">
        <x:v>227.91</x:v>
      </x:c>
      <x:c r="D126" s="48" t="n">
        <x:v>295.98</x:v>
      </x:c>
      <x:c r="E126" s="48" t="n">
        <x:v>275.21</x:v>
      </x:c>
      <x:c r="F126" s="48" t="n">
        <x:v>180.36</x:v>
      </x:c>
      <x:c r="G126" s="48" t="n">
        <x:v>152.19</x:v>
      </x:c>
      <x:c r="H126" s="49" t="n">
        <x:v>350158.32</x:v>
      </x:c>
      <x:c r="I126" s="49" t="n">
        <x:v>344145.22</x:v>
      </x:c>
      <x:c r="J126" s="48" t="n">
        <x:f>IF(COUNT(B126:C126)&lt;2,"",B126-C126)</x:f>
        <x:v>26.849999999999994</x:v>
      </x:c>
      <x:c r="K126" s="48" t="n">
        <x:f>IF(COUNT(D126,F126)&lt;2,"",D126-F126)</x:f>
        <x:v>115.62</x:v>
      </x:c>
      <x:c r="L126" s="48" t="n">
        <x:f>IF(COUNT(E126,G126)&lt;2,"",E126-G126)</x:f>
        <x:v>123.01999999999998</x:v>
      </x:c>
      <x:c r="M126" s="31" t="str">
        <x:v>网站结构化接口</x:v>
      </x:c>
      <x:c r="N126" s="36" t="d">
        <x:v>2026-10-28T14:16:22.777Z</x:v>
      </x:c>
    </x:row>
    <x:row r="127">
      <x:c r="A127" s="36" t="d">
        <x:v>2025-05-06T00:00:00.000Z</x:v>
      </x:c>
      <x:c r="B127" s="48" t="n">
        <x:v>331.26</x:v>
      </x:c>
      <x:c r="C127" s="48" t="n">
        <x:v>285.37</x:v>
      </x:c>
      <x:c r="D127" s="48" t="n">
        <x:v>383.62</x:v>
      </x:c>
      <x:c r="E127" s="48" t="n">
        <x:v>334.24</x:v>
      </x:c>
      <x:c r="F127" s="48" t="n">
        <x:v>189.36</x:v>
      </x:c>
      <x:c r="G127" s="48" t="n">
        <x:v>155.16</x:v>
      </x:c>
      <x:c r="H127" s="49" t="n">
        <x:v>375972.72</x:v>
      </x:c>
      <x:c r="I127" s="49" t="n">
        <x:v>359787.66</x:v>
      </x:c>
      <x:c r="J127" s="48" t="n">
        <x:f>IF(COUNT(B127:C127)&lt;2,"",B127-C127)</x:f>
        <x:v>45.889999999999986</x:v>
      </x:c>
      <x:c r="K127" s="48" t="n">
        <x:f>IF(COUNT(D127,F127)&lt;2,"",D127-F127)</x:f>
        <x:v>194.26</x:v>
      </x:c>
      <x:c r="L127" s="48" t="n">
        <x:f>IF(COUNT(E127,G127)&lt;2,"",E127-G127)</x:f>
        <x:v>179.08</x:v>
      </x:c>
      <x:c r="M127" s="31" t="str">
        <x:v>网站结构化接口</x:v>
      </x:c>
      <x:c r="N127" s="36" t="d">
        <x:v>2026-10-28T14:16:22.777Z</x:v>
      </x:c>
    </x:row>
    <x:row r="128">
      <x:c r="A128" s="36" t="d">
        <x:v>2025-05-07T00:00:00.000Z</x:v>
      </x:c>
      <x:c r="B128" s="48" t="n">
        <x:v>269.84</x:v>
      </x:c>
      <x:c r="C128" s="48" t="n">
        <x:v>307.61</x:v>
      </x:c>
      <x:c r="D128" s="48" t="n">
        <x:v>308.29</x:v>
      </x:c>
      <x:c r="E128" s="48" t="n">
        <x:v>333.29</x:v>
      </x:c>
      <x:c r="F128" s="48" t="n">
        <x:v>158.04</x:v>
      </x:c>
      <x:c r="G128" s="48" t="n">
        <x:v>220.15</x:v>
      </x:c>
      <x:c r="H128" s="49" t="n">
        <x:v>360241.57</x:v>
      </x:c>
      <x:c r="I128" s="49" t="n">
        <x:v>374156.93</x:v>
      </x:c>
      <x:c r="J128" s="48" t="n">
        <x:f>IF(COUNT(B128:C128)&lt;2,"",B128-C128)</x:f>
        <x:v>-37.77000000000004</x:v>
      </x:c>
      <x:c r="K128" s="48" t="n">
        <x:f>IF(COUNT(D128,F128)&lt;2,"",D128-F128)</x:f>
        <x:v>150.25000000000003</x:v>
      </x:c>
      <x:c r="L128" s="48" t="n">
        <x:f>IF(COUNT(E128,G128)&lt;2,"",E128-G128)</x:f>
        <x:v>113.14000000000001</x:v>
      </x:c>
      <x:c r="M128" s="31" t="str">
        <x:v>网站结构化接口</x:v>
      </x:c>
      <x:c r="N128" s="36" t="d">
        <x:v>2026-10-28T14:16:22.777Z</x:v>
      </x:c>
    </x:row>
    <x:row r="129">
      <x:c r="A129" s="36" t="d">
        <x:v>2025-05-08T00:00:00.000Z</x:v>
      </x:c>
      <x:c r="B129" s="48" t="n">
        <x:v>247.18</x:v>
      </x:c>
      <x:c r="C129" s="48" t="n">
        <x:v>280.87</x:v>
      </x:c>
      <x:c r="D129" s="48" t="n">
        <x:v>281.65</x:v>
      </x:c>
      <x:c r="E129" s="48" t="n">
        <x:v>308.98</x:v>
      </x:c>
      <x:c r="F129" s="48" t="n">
        <x:v>166.12</x:v>
      </x:c>
      <x:c r="G129" s="48" t="n">
        <x:v>202.03</x:v>
      </x:c>
      <x:c r="H129" s="49" t="n">
        <x:v>385853.2</x:v>
      </x:c>
      <x:c r="I129" s="49" t="n">
        <x:v>397750.18</x:v>
      </x:c>
      <x:c r="J129" s="48" t="n">
        <x:f>IF(COUNT(B129:C129)&lt;2,"",B129-C129)</x:f>
        <x:v>-33.69</x:v>
      </x:c>
      <x:c r="K129" s="48" t="n">
        <x:f>IF(COUNT(D129,F129)&lt;2,"",D129-F129)</x:f>
        <x:v>115.52999999999997</x:v>
      </x:c>
      <x:c r="L129" s="48" t="n">
        <x:f>IF(COUNT(E129,G129)&lt;2,"",E129-G129)</x:f>
        <x:v>106.95000000000002</x:v>
      </x:c>
      <x:c r="M129" s="31" t="str">
        <x:v>网站结构化接口</x:v>
      </x:c>
      <x:c r="N129" s="36" t="d">
        <x:v>2026-10-28T14:16:22.777Z</x:v>
      </x:c>
    </x:row>
    <x:row r="130">
      <x:c r="A130" s="36" t="d">
        <x:v>2025-05-09T00:00:00.000Z</x:v>
      </x:c>
      <x:c r="B130" s="48" t="n">
        <x:v>167.52</x:v>
      </x:c>
      <x:c r="C130" s="48" t="n">
        <x:v>132.87</x:v>
      </x:c>
      <x:c r="D130" s="48" t="n">
        <x:v>196.05</x:v>
      </x:c>
      <x:c r="E130" s="48" t="n">
        <x:v>154.93</x:v>
      </x:c>
      <x:c r="F130" s="48" t="n">
        <x:v>118.67</x:v>
      </x:c>
      <x:c r="G130" s="48" t="n">
        <x:v>100.81</x:v>
      </x:c>
      <x:c r="H130" s="49" t="n">
        <x:v>352682.62</x:v>
      </x:c>
      <x:c r="I130" s="49" t="n">
        <x:v>337416.68</x:v>
      </x:c>
      <x:c r="J130" s="48" t="n">
        <x:f>IF(COUNT(B130:C130)&lt;2,"",B130-C130)</x:f>
        <x:v>34.650000000000006</x:v>
      </x:c>
      <x:c r="K130" s="48" t="n">
        <x:f>IF(COUNT(D130,F130)&lt;2,"",D130-F130)</x:f>
        <x:v>77.38000000000001</x:v>
      </x:c>
      <x:c r="L130" s="48" t="n">
        <x:f>IF(COUNT(E130,G130)&lt;2,"",E130-G130)</x:f>
        <x:v>54.120000000000005</x:v>
      </x:c>
      <x:c r="M130" s="31" t="str">
        <x:v>网站结构化接口</x:v>
      </x:c>
      <x:c r="N130" s="36" t="d">
        <x:v>2026-10-28T14:16:22.777Z</x:v>
      </x:c>
    </x:row>
    <x:row r="131">
      <x:c r="A131" s="36" t="d">
        <x:v>2025-05-10T00:00:00.000Z</x:v>
      </x:c>
      <x:c r="B131" s="48" t="n">
        <x:v>226.26</x:v>
      </x:c>
      <x:c r="C131" s="48" t="n">
        <x:v>215.92</x:v>
      </x:c>
      <x:c r="D131" s="48" t="n">
        <x:v>260.39</x:v>
      </x:c>
      <x:c r="E131" s="48" t="n">
        <x:v>254.75</x:v>
      </x:c>
      <x:c r="F131" s="48" t="n">
        <x:v>124.4</x:v>
      </x:c>
      <x:c r="G131" s="48" t="n">
        <x:v>115.77</x:v>
      </x:c>
      <x:c r="H131" s="49" t="n">
        <x:v>348360.57</x:v>
      </x:c>
      <x:c r="I131" s="49" t="n">
        <x:v>354591.89</x:v>
      </x:c>
      <x:c r="J131" s="48" t="n">
        <x:f>IF(COUNT(B131:C131)&lt;2,"",B131-C131)</x:f>
        <x:v>10.340000000000003</x:v>
      </x:c>
      <x:c r="K131" s="48" t="n">
        <x:f>IF(COUNT(D131,F131)&lt;2,"",D131-F131)</x:f>
        <x:v>135.98999999999998</x:v>
      </x:c>
      <x:c r="L131" s="48" t="n">
        <x:f>IF(COUNT(E131,G131)&lt;2,"",E131-G131)</x:f>
        <x:v>138.98000000000002</x:v>
      </x:c>
      <x:c r="M131" s="31" t="str">
        <x:v>网站结构化接口</x:v>
      </x:c>
      <x:c r="N131" s="36" t="d">
        <x:v>2026-10-28T14:16:22.777Z</x:v>
      </x:c>
    </x:row>
    <x:row r="132">
      <x:c r="A132" s="36" t="d">
        <x:v>2025-05-11T00:00:00.000Z</x:v>
      </x:c>
      <x:c r="B132" s="48" t="n">
        <x:v>256.55</x:v>
      </x:c>
      <x:c r="C132" s="48" t="n">
        <x:v>223.01</x:v>
      </x:c>
      <x:c r="D132" s="48" t="n">
        <x:v>292.64</x:v>
      </x:c>
      <x:c r="E132" s="48" t="n">
        <x:v>262.93</x:v>
      </x:c>
      <x:c r="F132" s="48" t="n">
        <x:v>139.57</x:v>
      </x:c>
      <x:c r="G132" s="48" t="n">
        <x:v>114.92</x:v>
      </x:c>
      <x:c r="H132" s="49" t="n">
        <x:v>352799.22</x:v>
      </x:c>
      <x:c r="I132" s="49" t="n">
        <x:v>347605.39</x:v>
      </x:c>
      <x:c r="J132" s="48" t="n">
        <x:f>IF(COUNT(B132:C132)&lt;2,"",B132-C132)</x:f>
        <x:v>33.54000000000002</x:v>
      </x:c>
      <x:c r="K132" s="48" t="n">
        <x:f>IF(COUNT(D132,F132)&lt;2,"",D132-F132)</x:f>
        <x:v>153.07</x:v>
      </x:c>
      <x:c r="L132" s="48" t="n">
        <x:f>IF(COUNT(E132,G132)&lt;2,"",E132-G132)</x:f>
        <x:v>148.01</x:v>
      </x:c>
      <x:c r="M132" s="31" t="str">
        <x:v>网站结构化接口</x:v>
      </x:c>
      <x:c r="N132" s="36" t="d">
        <x:v>2026-10-28T14:16:22.777Z</x:v>
      </x:c>
    </x:row>
    <x:row r="133">
      <x:c r="A133" s="36" t="d">
        <x:v>2025-05-12T00:00:00.000Z</x:v>
      </x:c>
      <x:c r="B133" s="48" t="n">
        <x:v>217.65</x:v>
      </x:c>
      <x:c r="C133" s="48" t="n">
        <x:v>181.52</x:v>
      </x:c>
      <x:c r="D133" s="48" t="n">
        <x:v>248.3</x:v>
      </x:c>
      <x:c r="E133" s="48" t="n">
        <x:v>208.82</x:v>
      </x:c>
      <x:c r="F133" s="48" t="n">
        <x:v>137.59</x:v>
      </x:c>
      <x:c r="G133" s="48" t="n">
        <x:v>115.81</x:v>
      </x:c>
      <x:c r="H133" s="49" t="n">
        <x:v>374591.19</x:v>
      </x:c>
      <x:c r="I133" s="49" t="n">
        <x:v>363392.54</x:v>
      </x:c>
      <x:c r="J133" s="48" t="n">
        <x:f>IF(COUNT(B133:C133)&lt;2,"",B133-C133)</x:f>
        <x:v>36.129999999999995</x:v>
      </x:c>
      <x:c r="K133" s="48" t="n">
        <x:f>IF(COUNT(D133,F133)&lt;2,"",D133-F133)</x:f>
        <x:v>110.71000000000001</x:v>
      </x:c>
      <x:c r="L133" s="48" t="n">
        <x:f>IF(COUNT(E133,G133)&lt;2,"",E133-G133)</x:f>
        <x:v>93.00999999999999</x:v>
      </x:c>
      <x:c r="M133" s="31" t="str">
        <x:v>网站结构化接口</x:v>
      </x:c>
      <x:c r="N133" s="36" t="d">
        <x:v>2026-10-28T14:16:22.777Z</x:v>
      </x:c>
    </x:row>
    <x:row r="134">
      <x:c r="A134" s="36" t="d">
        <x:v>2025-05-13T00:00:00.000Z</x:v>
      </x:c>
      <x:c r="B134" s="48" t="n">
        <x:v>170.17</x:v>
      </x:c>
      <x:c r="C134" s="48" t="n">
        <x:v>173.73</x:v>
      </x:c>
      <x:c r="D134" s="48" t="n">
        <x:v>205.13</x:v>
      </x:c>
      <x:c r="E134" s="48" t="n">
        <x:v>204.82</x:v>
      </x:c>
      <x:c r="F134" s="48" t="n">
        <x:v>87.23</x:v>
      </x:c>
      <x:c r="G134" s="48" t="n">
        <x:v>97.81</x:v>
      </x:c>
      <x:c r="H134" s="49" t="n">
        <x:v>363918.4</x:v>
      </x:c>
      <x:c r="I134" s="49" t="n">
        <x:v>371331.48</x:v>
      </x:c>
      <x:c r="J134" s="48" t="n">
        <x:f>IF(COUNT(B134:C134)&lt;2,"",B134-C134)</x:f>
        <x:v>-3.5600000000000023</x:v>
      </x:c>
      <x:c r="K134" s="48" t="n">
        <x:f>IF(COUNT(D134,F134)&lt;2,"",D134-F134)</x:f>
        <x:v>117.89999999999999</x:v>
      </x:c>
      <x:c r="L134" s="48" t="n">
        <x:f>IF(COUNT(E134,G134)&lt;2,"",E134-G134)</x:f>
        <x:v>107.00999999999999</x:v>
      </x:c>
      <x:c r="M134" s="31" t="str">
        <x:v>网站结构化接口</x:v>
      </x:c>
      <x:c r="N134" s="36" t="d">
        <x:v>2026-10-28T14:16:22.777Z</x:v>
      </x:c>
    </x:row>
    <x:row r="135">
      <x:c r="A135" s="36" t="d">
        <x:v>2025-05-14T00:00:00.000Z</x:v>
      </x:c>
      <x:c r="B135" s="48" t="n">
        <x:v>243.52</x:v>
      </x:c>
      <x:c r="C135" s="48" t="n">
        <x:v>229.03</x:v>
      </x:c>
      <x:c r="D135" s="48" t="n">
        <x:v>295.96</x:v>
      </x:c>
      <x:c r="E135" s="48" t="n">
        <x:v>270.64</x:v>
      </x:c>
      <x:c r="F135" s="48" t="n">
        <x:v>99.41</x:v>
      </x:c>
      <x:c r="G135" s="48" t="n">
        <x:v>106.88</x:v>
      </x:c>
      <x:c r="H135" s="49" t="n">
        <x:v>373116.58</x:v>
      </x:c>
      <x:c r="I135" s="49" t="n">
        <x:v>381367.82</x:v>
      </x:c>
      <x:c r="J135" s="48" t="n">
        <x:f>IF(COUNT(B135:C135)&lt;2,"",B135-C135)</x:f>
        <x:v>14.490000000000009</x:v>
      </x:c>
      <x:c r="K135" s="48" t="n">
        <x:f>IF(COUNT(D135,F135)&lt;2,"",D135-F135)</x:f>
        <x:v>196.54999999999998</x:v>
      </x:c>
      <x:c r="L135" s="48" t="n">
        <x:f>IF(COUNT(E135,G135)&lt;2,"",E135-G135)</x:f>
        <x:v>163.76</x:v>
      </x:c>
      <x:c r="M135" s="31" t="str">
        <x:v>网站结构化接口</x:v>
      </x:c>
      <x:c r="N135" s="36" t="d">
        <x:v>2026-10-28T14:16:22.777Z</x:v>
      </x:c>
    </x:row>
    <x:row r="136">
      <x:c r="A136" s="36" t="d">
        <x:v>2025-05-15T00:00:00.000Z</x:v>
      </x:c>
      <x:c r="B136" s="48" t="n">
        <x:v>177.04</x:v>
      </x:c>
      <x:c r="C136" s="48" t="n">
        <x:v>201.78</x:v>
      </x:c>
      <x:c r="D136" s="48" t="n">
        <x:v>213.21</x:v>
      </x:c>
      <x:c r="E136" s="48" t="n">
        <x:v>239.09</x:v>
      </x:c>
      <x:c r="F136" s="48" t="n">
        <x:v>101.63</x:v>
      </x:c>
      <x:c r="G136" s="48" t="n">
        <x:v>117.42</x:v>
      </x:c>
      <x:c r="H136" s="49" t="n">
        <x:v>374767.85</x:v>
      </x:c>
      <x:c r="I136" s="49" t="n">
        <x:v>373586.36</x:v>
      </x:c>
      <x:c r="J136" s="48" t="n">
        <x:f>IF(COUNT(B136:C136)&lt;2,"",B136-C136)</x:f>
        <x:v>-24.74000000000001</x:v>
      </x:c>
      <x:c r="K136" s="48" t="n">
        <x:f>IF(COUNT(D136,F136)&lt;2,"",D136-F136)</x:f>
        <x:v>111.58000000000001</x:v>
      </x:c>
      <x:c r="L136" s="48" t="n">
        <x:f>IF(COUNT(E136,G136)&lt;2,"",E136-G136)</x:f>
        <x:v>121.67</x:v>
      </x:c>
      <x:c r="M136" s="31" t="str">
        <x:v>网站结构化接口</x:v>
      </x:c>
      <x:c r="N136" s="36" t="d">
        <x:v>2026-10-28T14:16:22.777Z</x:v>
      </x:c>
    </x:row>
    <x:row r="137">
      <x:c r="A137" s="36" t="d">
        <x:v>2025-05-16T00:00:00.000Z</x:v>
      </x:c>
      <x:c r="B137" s="48" t="n">
        <x:v>163.72</x:v>
      </x:c>
      <x:c r="C137" s="48" t="n">
        <x:v>150.75</x:v>
      </x:c>
      <x:c r="D137" s="48" t="n">
        <x:v>207.48</x:v>
      </x:c>
      <x:c r="E137" s="48" t="n">
        <x:v>201.58</x:v>
      </x:c>
      <x:c r="F137" s="48" t="n">
        <x:v>93.42</x:v>
      </x:c>
      <x:c r="G137" s="48" t="n">
        <x:v>74.94</x:v>
      </x:c>
      <x:c r="H137" s="49" t="n">
        <x:v>352262.82</x:v>
      </x:c>
      <x:c r="I137" s="49" t="n">
        <x:v>352049.86</x:v>
      </x:c>
      <x:c r="J137" s="48" t="n">
        <x:f>IF(COUNT(B137:C137)&lt;2,"",B137-C137)</x:f>
        <x:v>12.969999999999999</x:v>
      </x:c>
      <x:c r="K137" s="48" t="n">
        <x:f>IF(COUNT(D137,F137)&lt;2,"",D137-F137)</x:f>
        <x:v>114.05999999999999</x:v>
      </x:c>
      <x:c r="L137" s="48" t="n">
        <x:f>IF(COUNT(E137,G137)&lt;2,"",E137-G137)</x:f>
        <x:v>126.64000000000001</x:v>
      </x:c>
      <x:c r="M137" s="31" t="str">
        <x:v>网站结构化接口</x:v>
      </x:c>
      <x:c r="N137" s="36" t="d">
        <x:v>2026-10-28T14:16:22.777Z</x:v>
      </x:c>
    </x:row>
    <x:row r="138">
      <x:c r="A138" s="36" t="d">
        <x:v>2025-05-17T00:00:00.000Z</x:v>
      </x:c>
      <x:c r="B138" s="48" t="n">
        <x:v>180.78</x:v>
      </x:c>
      <x:c r="C138" s="48" t="n">
        <x:v>230.49</x:v>
      </x:c>
      <x:c r="D138" s="48" t="n">
        <x:v>212.74</x:v>
      </x:c>
      <x:c r="E138" s="48" t="n">
        <x:v>256.92</x:v>
      </x:c>
      <x:c r="F138" s="48" t="n">
        <x:v>87.45</x:v>
      </x:c>
      <x:c r="G138" s="48" t="n">
        <x:v>136</x:v>
      </x:c>
      <x:c r="H138" s="49" t="n">
        <x:v>342310.99</x:v>
      </x:c>
      <x:c r="I138" s="49" t="n">
        <x:v>359977.6</x:v>
      </x:c>
      <x:c r="J138" s="48" t="n">
        <x:f>IF(COUNT(B138:C138)&lt;2,"",B138-C138)</x:f>
        <x:v>-49.71000000000001</x:v>
      </x:c>
      <x:c r="K138" s="48" t="n">
        <x:f>IF(COUNT(D138,F138)&lt;2,"",D138-F138)</x:f>
        <x:v>125.29</x:v>
      </x:c>
      <x:c r="L138" s="48" t="n">
        <x:f>IF(COUNT(E138,G138)&lt;2,"",E138-G138)</x:f>
        <x:v>120.92000000000002</x:v>
      </x:c>
      <x:c r="M138" s="31" t="str">
        <x:v>网站结构化接口</x:v>
      </x:c>
      <x:c r="N138" s="36" t="d">
        <x:v>2026-10-28T14:16:22.777Z</x:v>
      </x:c>
    </x:row>
    <x:row r="139">
      <x:c r="A139" s="36" t="d">
        <x:v>2025-05-18T00:00:00.000Z</x:v>
      </x:c>
      <x:c r="B139" s="48" t="n">
        <x:v>185.85</x:v>
      </x:c>
      <x:c r="C139" s="48" t="n">
        <x:v>197.85</x:v>
      </x:c>
      <x:c r="D139" s="48" t="n">
        <x:v>217.88</x:v>
      </x:c>
      <x:c r="E139" s="48" t="n">
        <x:v>229.44</x:v>
      </x:c>
      <x:c r="F139" s="48" t="n">
        <x:v>78.97</x:v>
      </x:c>
      <x:c r="G139" s="48" t="n">
        <x:v>89.18</x:v>
      </x:c>
      <x:c r="H139" s="49" t="n">
        <x:v>351037.69</x:v>
      </x:c>
      <x:c r="I139" s="49" t="n">
        <x:v>345622.97</x:v>
      </x:c>
      <x:c r="J139" s="48" t="n">
        <x:f>IF(COUNT(B139:C139)&lt;2,"",B139-C139)</x:f>
        <x:v>-12</x:v>
      </x:c>
      <x:c r="K139" s="48" t="n">
        <x:f>IF(COUNT(D139,F139)&lt;2,"",D139-F139)</x:f>
        <x:v>138.91</x:v>
      </x:c>
      <x:c r="L139" s="48" t="n">
        <x:f>IF(COUNT(E139,G139)&lt;2,"",E139-G139)</x:f>
        <x:v>140.26</x:v>
      </x:c>
      <x:c r="M139" s="31" t="str">
        <x:v>网站结构化接口</x:v>
      </x:c>
      <x:c r="N139" s="36" t="d">
        <x:v>2026-10-28T14:16:22.777Z</x:v>
      </x:c>
    </x:row>
    <x:row r="140">
      <x:c r="A140" s="36" t="d">
        <x:v>2025-05-19T00:00:00.000Z</x:v>
      </x:c>
      <x:c r="B140" s="48" t="n">
        <x:v>213.24</x:v>
      </x:c>
      <x:c r="C140" s="48" t="n">
        <x:v>252.39</x:v>
      </x:c>
      <x:c r="D140" s="48" t="n">
        <x:v>245.52</x:v>
      </x:c>
      <x:c r="E140" s="48" t="n">
        <x:v>284.32</x:v>
      </x:c>
      <x:c r="F140" s="48" t="n">
        <x:v>103.85</x:v>
      </x:c>
      <x:c r="G140" s="48" t="n">
        <x:v>131.24</x:v>
      </x:c>
      <x:c r="H140" s="49" t="n">
        <x:v>386528.43</x:v>
      </x:c>
      <x:c r="I140" s="49" t="n">
        <x:v>391251.97</x:v>
      </x:c>
      <x:c r="J140" s="48" t="n">
        <x:f>IF(COUNT(B140:C140)&lt;2,"",B140-C140)</x:f>
        <x:v>-39.14999999999998</x:v>
      </x:c>
      <x:c r="K140" s="48" t="n">
        <x:f>IF(COUNT(D140,F140)&lt;2,"",D140-F140)</x:f>
        <x:v>141.67000000000002</x:v>
      </x:c>
      <x:c r="L140" s="48" t="n">
        <x:f>IF(COUNT(E140,G140)&lt;2,"",E140-G140)</x:f>
        <x:v>153.07999999999998</x:v>
      </x:c>
      <x:c r="M140" s="31" t="str">
        <x:v>网站结构化接口</x:v>
      </x:c>
      <x:c r="N140" s="36" t="d">
        <x:v>2026-10-28T14:16:22.777Z</x:v>
      </x:c>
    </x:row>
    <x:row r="141">
      <x:c r="A141" s="36" t="d">
        <x:v>2025-05-20T00:00:00.000Z</x:v>
      </x:c>
      <x:c r="B141" s="48" t="n">
        <x:v>239.52</x:v>
      </x:c>
      <x:c r="C141" s="48" t="n">
        <x:v>309.3</x:v>
      </x:c>
      <x:c r="D141" s="48" t="n">
        <x:v>273.6</x:v>
      </x:c>
      <x:c r="E141" s="48" t="n">
        <x:v>345.92</x:v>
      </x:c>
      <x:c r="F141" s="48" t="n">
        <x:v>105.95</x:v>
      </x:c>
      <x:c r="G141" s="48" t="n">
        <x:v>150.86</x:v>
      </x:c>
      <x:c r="H141" s="49" t="n">
        <x:v>381636.19</x:v>
      </x:c>
      <x:c r="I141" s="49" t="n">
        <x:v>411552.6</x:v>
      </x:c>
      <x:c r="J141" s="48" t="n">
        <x:f>IF(COUNT(B141:C141)&lt;2,"",B141-C141)</x:f>
        <x:v>-69.78</x:v>
      </x:c>
      <x:c r="K141" s="48" t="n">
        <x:f>IF(COUNT(D141,F141)&lt;2,"",D141-F141)</x:f>
        <x:v>167.65000000000003</x:v>
      </x:c>
      <x:c r="L141" s="48" t="n">
        <x:f>IF(COUNT(E141,G141)&lt;2,"",E141-G141)</x:f>
        <x:v>195.06</x:v>
      </x:c>
      <x:c r="M141" s="31" t="str">
        <x:v>网站结构化接口</x:v>
      </x:c>
      <x:c r="N141" s="36" t="d">
        <x:v>2026-10-28T14:16:22.777Z</x:v>
      </x:c>
    </x:row>
    <x:row r="142">
      <x:c r="A142" s="36" t="d">
        <x:v>2025-05-21T00:00:00.000Z</x:v>
      </x:c>
      <x:c r="B142" s="48" t="n">
        <x:v>255.07</x:v>
      </x:c>
      <x:c r="C142" s="48" t="n">
        <x:v>274.26</x:v>
      </x:c>
      <x:c r="D142" s="48" t="n">
        <x:v>289.01</x:v>
      </x:c>
      <x:c r="E142" s="48" t="n">
        <x:v>303.1</x:v>
      </x:c>
      <x:c r="F142" s="48" t="n">
        <x:v>145.62</x:v>
      </x:c>
      <x:c r="G142" s="48" t="n">
        <x:v>164.57</x:v>
      </x:c>
      <x:c r="H142" s="49" t="n">
        <x:v>404482.62</x:v>
      </x:c>
      <x:c r="I142" s="49" t="n">
        <x:v>412081.08</x:v>
      </x:c>
      <x:c r="J142" s="48" t="n">
        <x:f>IF(COUNT(B142:C142)&lt;2,"",B142-C142)</x:f>
        <x:v>-19.189999999999998</x:v>
      </x:c>
      <x:c r="K142" s="48" t="n">
        <x:f>IF(COUNT(D142,F142)&lt;2,"",D142-F142)</x:f>
        <x:v>143.39</x:v>
      </x:c>
      <x:c r="L142" s="48" t="n">
        <x:f>IF(COUNT(E142,G142)&lt;2,"",E142-G142)</x:f>
        <x:v>138.53000000000003</x:v>
      </x:c>
      <x:c r="M142" s="31" t="str">
        <x:v>网站结构化接口</x:v>
      </x:c>
      <x:c r="N142" s="36" t="d">
        <x:v>2026-10-28T14:16:22.777Z</x:v>
      </x:c>
    </x:row>
    <x:row r="143">
      <x:c r="A143" s="36" t="d">
        <x:v>2025-05-22T00:00:00.000Z</x:v>
      </x:c>
      <x:c r="B143" s="48" t="n">
        <x:v>241.37</x:v>
      </x:c>
      <x:c r="C143" s="48" t="n">
        <x:v>189.32</x:v>
      </x:c>
      <x:c r="D143" s="48" t="n">
        <x:v>259.51</x:v>
      </x:c>
      <x:c r="E143" s="48" t="n">
        <x:v>207.55</x:v>
      </x:c>
      <x:c r="F143" s="48" t="n">
        <x:v>201.8</x:v>
      </x:c>
      <x:c r="G143" s="48" t="n">
        <x:v>149.28</x:v>
      </x:c>
      <x:c r="H143" s="49" t="n">
        <x:v>409481.88</x:v>
      </x:c>
      <x:c r="I143" s="49" t="n">
        <x:v>381881.41</x:v>
      </x:c>
      <x:c r="J143" s="48" t="n">
        <x:f>IF(COUNT(B143:C143)&lt;2,"",B143-C143)</x:f>
        <x:v>52.05000000000001</x:v>
      </x:c>
      <x:c r="K143" s="48" t="n">
        <x:f>IF(COUNT(D143,F143)&lt;2,"",D143-F143)</x:f>
        <x:v>57.70999999999998</x:v>
      </x:c>
      <x:c r="L143" s="48" t="n">
        <x:f>IF(COUNT(E143,G143)&lt;2,"",E143-G143)</x:f>
        <x:v>58.27000000000001</x:v>
      </x:c>
      <x:c r="M143" s="31" t="str">
        <x:v>网站结构化接口</x:v>
      </x:c>
      <x:c r="N143" s="36" t="d">
        <x:v>2026-10-28T14:16:22.777Z</x:v>
      </x:c>
    </x:row>
    <x:row r="144">
      <x:c r="A144" s="36" t="d">
        <x:v>2025-05-23T00:00:00.000Z</x:v>
      </x:c>
      <x:c r="B144" s="48" t="n">
        <x:v>165.14</x:v>
      </x:c>
      <x:c r="C144" s="48" t="n">
        <x:v>157.21</x:v>
      </x:c>
      <x:c r="D144" s="48" t="n">
        <x:v>200.54</x:v>
      </x:c>
      <x:c r="E144" s="48" t="n">
        <x:v>188.8</x:v>
      </x:c>
      <x:c r="F144" s="48" t="n">
        <x:v>86.26</x:v>
      </x:c>
      <x:c r="G144" s="48" t="n">
        <x:v>80.77</x:v>
      </x:c>
      <x:c r="H144" s="49" t="n">
        <x:v>361152.45</x:v>
      </x:c>
      <x:c r="I144" s="49" t="n">
        <x:v>352556.12</x:v>
      </x:c>
      <x:c r="J144" s="48" t="n">
        <x:f>IF(COUNT(B144:C144)&lt;2,"",B144-C144)</x:f>
        <x:v>7.929999999999978</x:v>
      </x:c>
      <x:c r="K144" s="48" t="n">
        <x:f>IF(COUNT(D144,F144)&lt;2,"",D144-F144)</x:f>
        <x:v>114.27999999999999</x:v>
      </x:c>
      <x:c r="L144" s="48" t="n">
        <x:f>IF(COUNT(E144,G144)&lt;2,"",E144-G144)</x:f>
        <x:v>108.03000000000002</x:v>
      </x:c>
      <x:c r="M144" s="31" t="str">
        <x:v>网站结构化接口</x:v>
      </x:c>
      <x:c r="N144" s="36" t="d">
        <x:v>2026-10-28T14:16:22.777Z</x:v>
      </x:c>
    </x:row>
    <x:row r="145">
      <x:c r="A145" s="36" t="d">
        <x:v>2025-05-24T00:00:00.000Z</x:v>
      </x:c>
      <x:c r="B145" s="48" t="n">
        <x:v>184.32</x:v>
      </x:c>
      <x:c r="C145" s="48" t="n">
        <x:v>161.69</x:v>
      </x:c>
      <x:c r="D145" s="48" t="n">
        <x:v>201.41</x:v>
      </x:c>
      <x:c r="E145" s="48" t="n">
        <x:v>178.09</x:v>
      </x:c>
      <x:c r="F145" s="48" t="n">
        <x:v>111.4</x:v>
      </x:c>
      <x:c r="G145" s="48" t="n">
        <x:v>105.2</x:v>
      </x:c>
      <x:c r="H145" s="49" t="n">
        <x:v>337936.63</x:v>
      </x:c>
      <x:c r="I145" s="49" t="n">
        <x:v>336642.96</x:v>
      </x:c>
      <x:c r="J145" s="48" t="n">
        <x:f>IF(COUNT(B145:C145)&lt;2,"",B145-C145)</x:f>
        <x:v>22.629999999999995</x:v>
      </x:c>
      <x:c r="K145" s="48" t="n">
        <x:f>IF(COUNT(D145,F145)&lt;2,"",D145-F145)</x:f>
        <x:v>90.00999999999999</x:v>
      </x:c>
      <x:c r="L145" s="48" t="n">
        <x:f>IF(COUNT(E145,G145)&lt;2,"",E145-G145)</x:f>
        <x:v>72.89</x:v>
      </x:c>
      <x:c r="M145" s="31" t="str">
        <x:v>网站结构化接口</x:v>
      </x:c>
      <x:c r="N145" s="36" t="d">
        <x:v>2026-10-28T14:16:22.777Z</x:v>
      </x:c>
    </x:row>
    <x:row r="146">
      <x:c r="A146" s="36" t="d">
        <x:v>2025-05-25T00:00:00.000Z</x:v>
      </x:c>
      <x:c r="B146" s="48" t="n">
        <x:v>195.09</x:v>
      </x:c>
      <x:c r="C146" s="48" t="n">
        <x:v>171.91</x:v>
      </x:c>
      <x:c r="D146" s="48" t="n">
        <x:v>212.16</x:v>
      </x:c>
      <x:c r="E146" s="48" t="n">
        <x:v>188.95</x:v>
      </x:c>
      <x:c r="F146" s="48" t="n">
        <x:v>123.81</x:v>
      </x:c>
      <x:c r="G146" s="48" t="n">
        <x:v>115.15</x:v>
      </x:c>
      <x:c r="H146" s="49" t="n">
        <x:v>344324.12</x:v>
      </x:c>
      <x:c r="I146" s="49" t="n">
        <x:v>330415.72</x:v>
      </x:c>
      <x:c r="J146" s="48" t="n">
        <x:f>IF(COUNT(B146:C146)&lt;2,"",B146-C146)</x:f>
        <x:v>23.180000000000007</x:v>
      </x:c>
      <x:c r="K146" s="48" t="n">
        <x:f>IF(COUNT(D146,F146)&lt;2,"",D146-F146)</x:f>
        <x:v>88.35</x:v>
      </x:c>
      <x:c r="L146" s="48" t="n">
        <x:f>IF(COUNT(E146,G146)&lt;2,"",E146-G146)</x:f>
        <x:v>73.79999999999998</x:v>
      </x:c>
      <x:c r="M146" s="31" t="str">
        <x:v>网站结构化接口</x:v>
      </x:c>
      <x:c r="N146" s="36" t="d">
        <x:v>2026-10-28T14:16:22.777Z</x:v>
      </x:c>
    </x:row>
    <x:row r="147">
      <x:c r="A147" s="36" t="d">
        <x:v>2025-05-26T00:00:00.000Z</x:v>
      </x:c>
      <x:c r="B147" s="48" t="n">
        <x:v>222.46</x:v>
      </x:c>
      <x:c r="C147" s="48" t="n">
        <x:v>230.51</x:v>
      </x:c>
      <x:c r="D147" s="48" t="n">
        <x:v>248.88</x:v>
      </x:c>
      <x:c r="E147" s="48" t="n">
        <x:v>252.01</x:v>
      </x:c>
      <x:c r="F147" s="48" t="n">
        <x:v>135.92</x:v>
      </x:c>
      <x:c r="G147" s="48" t="n">
        <x:v>149.73</x:v>
      </x:c>
      <x:c r="H147" s="49" t="n">
        <x:v>343174.92</x:v>
      </x:c>
      <x:c r="I147" s="49" t="n">
        <x:v>352314.36</x:v>
      </x:c>
      <x:c r="J147" s="48" t="n">
        <x:f>IF(COUNT(B147:C147)&lt;2,"",B147-C147)</x:f>
        <x:v>-8.049999999999983</x:v>
      </x:c>
      <x:c r="K147" s="48" t="n">
        <x:f>IF(COUNT(D147,F147)&lt;2,"",D147-F147)</x:f>
        <x:v>112.96000000000001</x:v>
      </x:c>
      <x:c r="L147" s="48" t="n">
        <x:f>IF(COUNT(E147,G147)&lt;2,"",E147-G147)</x:f>
        <x:v>102.28</x:v>
      </x:c>
      <x:c r="M147" s="31" t="str">
        <x:v>网站结构化接口</x:v>
      </x:c>
      <x:c r="N147" s="36" t="d">
        <x:v>2026-10-28T14:16:22.777Z</x:v>
      </x:c>
    </x:row>
    <x:row r="148">
      <x:c r="A148" s="36" t="d">
        <x:v>2025-05-27T00:00:00.000Z</x:v>
      </x:c>
      <x:c r="B148" s="48" t="n">
        <x:v>194.63</x:v>
      </x:c>
      <x:c r="C148" s="48" t="n">
        <x:v>153.62</x:v>
      </x:c>
      <x:c r="D148" s="48" t="n">
        <x:v>221.69</x:v>
      </x:c>
      <x:c r="E148" s="48" t="n">
        <x:v>177.01</x:v>
      </x:c>
      <x:c r="F148" s="48" t="n">
        <x:v>138.82</x:v>
      </x:c>
      <x:c r="G148" s="48" t="n">
        <x:v>102.05</x:v>
      </x:c>
      <x:c r="H148" s="49" t="n">
        <x:v>341622.94</x:v>
      </x:c>
      <x:c r="I148" s="49" t="n">
        <x:v>325814.28</x:v>
      </x:c>
      <x:c r="J148" s="48" t="n">
        <x:f>IF(COUNT(B148:C148)&lt;2,"",B148-C148)</x:f>
        <x:v>41.00999999999999</x:v>
      </x:c>
      <x:c r="K148" s="48" t="n">
        <x:f>IF(COUNT(D148,F148)&lt;2,"",D148-F148)</x:f>
        <x:v>82.87</x:v>
      </x:c>
      <x:c r="L148" s="48" t="n">
        <x:f>IF(COUNT(E148,G148)&lt;2,"",E148-G148)</x:f>
        <x:v>74.96</x:v>
      </x:c>
      <x:c r="M148" s="31" t="str">
        <x:v>网站结构化接口</x:v>
      </x:c>
      <x:c r="N148" s="36" t="d">
        <x:v>2026-10-28T14:16:22.777Z</x:v>
      </x:c>
    </x:row>
    <x:row r="149">
      <x:c r="A149" s="36" t="d">
        <x:v>2025-05-28T00:00:00.000Z</x:v>
      </x:c>
      <x:c r="B149" s="48" t="n">
        <x:v>133.1</x:v>
      </x:c>
      <x:c r="C149" s="48" t="n">
        <x:v>109.72</x:v>
      </x:c>
      <x:c r="D149" s="48" t="n">
        <x:v>157.1</x:v>
      </x:c>
      <x:c r="E149" s="48" t="n">
        <x:v>125.77</x:v>
      </x:c>
      <x:c r="F149" s="48" t="n">
        <x:v>97.79</x:v>
      </x:c>
      <x:c r="G149" s="48" t="n">
        <x:v>86.75</x:v>
      </x:c>
      <x:c r="H149" s="49" t="n">
        <x:v>333345.04</x:v>
      </x:c>
      <x:c r="I149" s="49" t="n">
        <x:v>313905.86</x:v>
      </x:c>
      <x:c r="J149" s="48" t="n">
        <x:f>IF(COUNT(B149:C149)&lt;2,"",B149-C149)</x:f>
        <x:v>23.379999999999995</x:v>
      </x:c>
      <x:c r="K149" s="48" t="n">
        <x:f>IF(COUNT(D149,F149)&lt;2,"",D149-F149)</x:f>
        <x:v>59.30999999999999</x:v>
      </x:c>
      <x:c r="L149" s="48" t="n">
        <x:f>IF(COUNT(E149,G149)&lt;2,"",E149-G149)</x:f>
        <x:v>39.019999999999996</x:v>
      </x:c>
      <x:c r="M149" s="31" t="str">
        <x:v>网站结构化接口</x:v>
      </x:c>
      <x:c r="N149" s="36" t="d">
        <x:v>2026-10-28T14:16:22.777Z</x:v>
      </x:c>
    </x:row>
    <x:row r="150">
      <x:c r="A150" s="36" t="d">
        <x:v>2025-05-29T00:00:00.000Z</x:v>
      </x:c>
      <x:c r="B150" s="48" t="n">
        <x:v>114.67</x:v>
      </x:c>
      <x:c r="C150" s="48" t="n">
        <x:v>91.41</x:v>
      </x:c>
      <x:c r="D150" s="48" t="n">
        <x:v>142.6</x:v>
      </x:c>
      <x:c r="E150" s="48" t="n">
        <x:v>115.23</x:v>
      </x:c>
      <x:c r="F150" s="48" t="n">
        <x:v>73.79</x:v>
      </x:c>
      <x:c r="G150" s="48" t="n">
        <x:v>59.33</x:v>
      </x:c>
      <x:c r="H150" s="49" t="n">
        <x:v>331133.76</x:v>
      </x:c>
      <x:c r="I150" s="49" t="n">
        <x:v>320918.83</x:v>
      </x:c>
      <x:c r="J150" s="48" t="n">
        <x:f>IF(COUNT(B150:C150)&lt;2,"",B150-C150)</x:f>
        <x:v>23.260000000000005</x:v>
      </x:c>
      <x:c r="K150" s="48" t="n">
        <x:f>IF(COUNT(D150,F150)&lt;2,"",D150-F150)</x:f>
        <x:v>68.80999999999999</x:v>
      </x:c>
      <x:c r="L150" s="48" t="n">
        <x:f>IF(COUNT(E150,G150)&lt;2,"",E150-G150)</x:f>
        <x:v>55.900000000000006</x:v>
      </x:c>
      <x:c r="M150" s="31" t="str">
        <x:v>网站结构化接口</x:v>
      </x:c>
      <x:c r="N150" s="36" t="d">
        <x:v>2026-10-28T14:16:22.777Z</x:v>
      </x:c>
    </x:row>
    <x:row r="151">
      <x:c r="A151" s="36" t="d">
        <x:v>2025-05-30T00:00:00.000Z</x:v>
      </x:c>
      <x:c r="B151" s="48" t="n">
        <x:v>199.77</x:v>
      </x:c>
      <x:c r="C151" s="48" t="n">
        <x:v>246.73</x:v>
      </x:c>
      <x:c r="D151" s="48" t="n">
        <x:v>230.08</x:v>
      </x:c>
      <x:c r="E151" s="48" t="n">
        <x:v>276.05</x:v>
      </x:c>
      <x:c r="F151" s="48" t="n">
        <x:v>114.39</x:v>
      </x:c>
      <x:c r="G151" s="48" t="n">
        <x:v>155.46</x:v>
      </x:c>
      <x:c r="H151" s="49" t="n">
        <x:v>333525.86</x:v>
      </x:c>
      <x:c r="I151" s="49" t="n">
        <x:v>355495.29</x:v>
      </x:c>
      <x:c r="J151" s="48" t="n">
        <x:f>IF(COUNT(B151:C151)&lt;2,"",B151-C151)</x:f>
        <x:v>-46.95999999999998</x:v>
      </x:c>
      <x:c r="K151" s="48" t="n">
        <x:f>IF(COUNT(D151,F151)&lt;2,"",D151-F151)</x:f>
        <x:v>115.69000000000001</x:v>
      </x:c>
      <x:c r="L151" s="48" t="n">
        <x:f>IF(COUNT(E151,G151)&lt;2,"",E151-G151)</x:f>
        <x:v>120.59</x:v>
      </x:c>
      <x:c r="M151" s="31" t="str">
        <x:v>网站结构化接口</x:v>
      </x:c>
      <x:c r="N151" s="36" t="d">
        <x:v>2026-10-28T14:16:22.777Z</x:v>
      </x:c>
    </x:row>
    <x:row r="152">
      <x:c r="A152" s="36" t="d">
        <x:v>2025-05-31T00:00:00.000Z</x:v>
      </x:c>
      <x:c r="B152" s="48" t="n">
        <x:v>207.73</x:v>
      </x:c>
      <x:c r="C152" s="48" t="n">
        <x:v>171.11</x:v>
      </x:c>
      <x:c r="D152" s="48" t="n">
        <x:v>231.92</x:v>
      </x:c>
      <x:c r="E152" s="48" t="n">
        <x:v>189.13</x:v>
      </x:c>
      <x:c r="F152" s="48" t="n">
        <x:v>105.64</x:v>
      </x:c>
      <x:c r="G152" s="48" t="n">
        <x:v>96.98</x:v>
      </x:c>
      <x:c r="H152" s="49" t="n">
        <x:v>334123.53</x:v>
      </x:c>
      <x:c r="I152" s="49" t="n">
        <x:v>306673.67</x:v>
      </x:c>
      <x:c r="J152" s="48" t="n">
        <x:f>IF(COUNT(B152:C152)&lt;2,"",B152-C152)</x:f>
        <x:v>36.619999999999976</x:v>
      </x:c>
      <x:c r="K152" s="48" t="n">
        <x:f>IF(COUNT(D152,F152)&lt;2,"",D152-F152)</x:f>
        <x:v>126.27999999999999</x:v>
      </x:c>
      <x:c r="L152" s="48" t="n">
        <x:f>IF(COUNT(E152,G152)&lt;2,"",E152-G152)</x:f>
        <x:v>92.14999999999999</x:v>
      </x:c>
      <x:c r="M152" s="31" t="str">
        <x:v>网站结构化接口</x:v>
      </x:c>
      <x:c r="N152" s="36" t="d">
        <x:v>2026-10-28T14:16:22.777Z</x:v>
      </x:c>
    </x:row>
    <x:row r="153">
      <x:c r="A153" s="36" t="d">
        <x:v>2025-06-01T00:00:00.000Z</x:v>
      </x:c>
      <x:c r="B153" s="48" t="n">
        <x:v>297.87</x:v>
      </x:c>
      <x:c r="C153" s="48" t="n">
        <x:v>332.67</x:v>
      </x:c>
      <x:c r="D153" s="48" t="n">
        <x:v>331.92</x:v>
      </x:c>
      <x:c r="E153" s="48" t="n">
        <x:v>341.62</x:v>
      </x:c>
      <x:c r="F153" s="48" t="n">
        <x:v>163.72</x:v>
      </x:c>
      <x:c r="G153" s="48" t="n">
        <x:v>280.19</x:v>
      </x:c>
      <x:c r="H153" s="49" t="n">
        <x:v>381193.3</x:v>
      </x:c>
      <x:c r="I153" s="49" t="n">
        <x:v>384233.41</x:v>
      </x:c>
      <x:c r="J153" s="48" t="n">
        <x:f>IF(COUNT(B153:C153)&lt;2,"",B153-C153)</x:f>
        <x:v>-34.80000000000001</x:v>
      </x:c>
      <x:c r="K153" s="48" t="n">
        <x:f>IF(COUNT(D153,F153)&lt;2,"",D153-F153)</x:f>
        <x:v>168.20000000000002</x:v>
      </x:c>
      <x:c r="L153" s="48" t="n">
        <x:f>IF(COUNT(E153,G153)&lt;2,"",E153-G153)</x:f>
        <x:v>61.43000000000001</x:v>
      </x:c>
      <x:c r="M153" s="31" t="str">
        <x:v>网站结构化接口</x:v>
      </x:c>
      <x:c r="N153" s="36" t="d">
        <x:v>2026-10-28T14:16:22.777Z</x:v>
      </x:c>
    </x:row>
    <x:row r="154">
      <x:c r="A154" s="36" t="d">
        <x:v>2025-06-02T00:00:00.000Z</x:v>
      </x:c>
      <x:c r="B154" s="48" t="n">
        <x:v>302.96</x:v>
      </x:c>
      <x:c r="C154" s="48" t="n">
        <x:v>350.01</x:v>
      </x:c>
      <x:c r="D154" s="48" t="n">
        <x:v>353.42</x:v>
      </x:c>
      <x:c r="E154" s="48" t="n">
        <x:v>401.82</x:v>
      </x:c>
      <x:c r="F154" s="48" t="n">
        <x:v>160.72</x:v>
      </x:c>
      <x:c r="G154" s="48" t="n">
        <x:v>193.75</x:v>
      </x:c>
      <x:c r="H154" s="49" t="n">
        <x:v>361070.02</x:v>
      </x:c>
      <x:c r="I154" s="49" t="n">
        <x:v>365188.48</x:v>
      </x:c>
      <x:c r="J154" s="48" t="n">
        <x:f>IF(COUNT(B154:C154)&lt;2,"",B154-C154)</x:f>
        <x:v>-47.05000000000001</x:v>
      </x:c>
      <x:c r="K154" s="48" t="n">
        <x:f>IF(COUNT(D154,F154)&lt;2,"",D154-F154)</x:f>
        <x:v>192.70000000000002</x:v>
      </x:c>
      <x:c r="L154" s="48" t="n">
        <x:f>IF(COUNT(E154,G154)&lt;2,"",E154-G154)</x:f>
        <x:v>208.07</x:v>
      </x:c>
      <x:c r="M154" s="31" t="str">
        <x:v>网站结构化接口</x:v>
      </x:c>
      <x:c r="N154" s="36" t="d">
        <x:v>2026-10-28T14:16:22.777Z</x:v>
      </x:c>
    </x:row>
    <x:row r="155">
      <x:c r="A155" s="36" t="d">
        <x:v>2025-06-03T00:00:00.000Z</x:v>
      </x:c>
      <x:c r="B155" s="48" t="n">
        <x:v>365.62</x:v>
      </x:c>
      <x:c r="C155" s="48" t="n">
        <x:v>312.46</x:v>
      </x:c>
      <x:c r="D155" s="48" t="n">
        <x:v>431.12</x:v>
      </x:c>
      <x:c r="E155" s="48" t="n">
        <x:v>350.6</x:v>
      </x:c>
      <x:c r="F155" s="48" t="n">
        <x:v>152.78</x:v>
      </x:c>
      <x:c r="G155" s="48" t="n">
        <x:v>180.07</x:v>
      </x:c>
      <x:c r="H155" s="49" t="n">
        <x:v>374503.12</x:v>
      </x:c>
      <x:c r="I155" s="49" t="n">
        <x:v>375253.75</x:v>
      </x:c>
      <x:c r="J155" s="48" t="n">
        <x:f>IF(COUNT(B155:C155)&lt;2,"",B155-C155)</x:f>
        <x:v>53.160000000000025</x:v>
      </x:c>
      <x:c r="K155" s="48" t="n">
        <x:f>IF(COUNT(D155,F155)&lt;2,"",D155-F155)</x:f>
        <x:v>278.34000000000003</x:v>
      </x:c>
      <x:c r="L155" s="48" t="n">
        <x:f>IF(COUNT(E155,G155)&lt;2,"",E155-G155)</x:f>
        <x:v>170.53000000000003</x:v>
      </x:c>
      <x:c r="M155" s="31" t="str">
        <x:v>网站结构化接口</x:v>
      </x:c>
      <x:c r="N155" s="36" t="d">
        <x:v>2026-10-28T14:16:22.777Z</x:v>
      </x:c>
    </x:row>
    <x:row r="156">
      <x:c r="A156" s="36" t="d">
        <x:v>2025-06-04T00:00:00.000Z</x:v>
      </x:c>
      <x:c r="B156" s="48" t="n">
        <x:v>274.87</x:v>
      </x:c>
      <x:c r="C156" s="48" t="n">
        <x:v>240.46</x:v>
      </x:c>
      <x:c r="D156" s="48" t="n">
        <x:v>317.14</x:v>
      </x:c>
      <x:c r="E156" s="48" t="n">
        <x:v>277.17</x:v>
      </x:c>
      <x:c r="F156" s="48" t="n">
        <x:v>150.53</x:v>
      </x:c>
      <x:c r="G156" s="48" t="n">
        <x:v>143.34</x:v>
      </x:c>
      <x:c r="H156" s="49" t="n">
        <x:v>365004.96</x:v>
      </x:c>
      <x:c r="I156" s="49" t="n">
        <x:v>376556.99</x:v>
      </x:c>
      <x:c r="J156" s="48" t="n">
        <x:f>IF(COUNT(B156:C156)&lt;2,"",B156-C156)</x:f>
        <x:v>34.41</x:v>
      </x:c>
      <x:c r="K156" s="48" t="n">
        <x:f>IF(COUNT(D156,F156)&lt;2,"",D156-F156)</x:f>
        <x:v>166.60999999999999</x:v>
      </x:c>
      <x:c r="L156" s="48" t="n">
        <x:f>IF(COUNT(E156,G156)&lt;2,"",E156-G156)</x:f>
        <x:v>133.83</x:v>
      </x:c>
      <x:c r="M156" s="31" t="str">
        <x:v>网站结构化接口</x:v>
      </x:c>
      <x:c r="N156" s="36" t="d">
        <x:v>2026-10-28T14:16:22.777Z</x:v>
      </x:c>
    </x:row>
    <x:row r="157">
      <x:c r="A157" s="36" t="d">
        <x:v>2025-06-05T00:00:00.000Z</x:v>
      </x:c>
      <x:c r="B157" s="48" t="n">
        <x:v>257.64</x:v>
      </x:c>
      <x:c r="C157" s="48" t="n">
        <x:v>291.88</x:v>
      </x:c>
      <x:c r="D157" s="48" t="n">
        <x:v>293.48</x:v>
      </x:c>
      <x:c r="E157" s="48" t="n">
        <x:v>327.94</x:v>
      </x:c>
      <x:c r="F157" s="48" t="n">
        <x:v>152.31</x:v>
      </x:c>
      <x:c r="G157" s="48" t="n">
        <x:v>159.24</x:v>
      </x:c>
      <x:c r="H157" s="49" t="n">
        <x:v>391819.6</x:v>
      </x:c>
      <x:c r="I157" s="49" t="n">
        <x:v>396641.46</x:v>
      </x:c>
      <x:c r="J157" s="48" t="n">
        <x:f>IF(COUNT(B157:C157)&lt;2,"",B157-C157)</x:f>
        <x:v>-34.24000000000001</x:v>
      </x:c>
      <x:c r="K157" s="48" t="n">
        <x:f>IF(COUNT(D157,F157)&lt;2,"",D157-F157)</x:f>
        <x:v>141.17000000000002</x:v>
      </x:c>
      <x:c r="L157" s="48" t="n">
        <x:f>IF(COUNT(E157,G157)&lt;2,"",E157-G157)</x:f>
        <x:v>168.7</x:v>
      </x:c>
      <x:c r="M157" s="31" t="str">
        <x:v>网站结构化接口</x:v>
      </x:c>
      <x:c r="N157" s="36" t="d">
        <x:v>2026-10-28T14:16:22.777Z</x:v>
      </x:c>
    </x:row>
    <x:row r="158">
      <x:c r="A158" s="36" t="d">
        <x:v>2025-06-06T00:00:00.000Z</x:v>
      </x:c>
      <x:c r="B158" s="48" t="n">
        <x:v>238.91</x:v>
      </x:c>
      <x:c r="C158" s="48" t="n">
        <x:v>291.8</x:v>
      </x:c>
      <x:c r="D158" s="48" t="n">
        <x:v>271.91</x:v>
      </x:c>
      <x:c r="E158" s="48" t="n">
        <x:v>316.42</x:v>
      </x:c>
      <x:c r="F158" s="48" t="n">
        <x:v>100.58</x:v>
      </x:c>
      <x:c r="G158" s="48" t="n">
        <x:v>157.5</x:v>
      </x:c>
      <x:c r="H158" s="49" t="n">
        <x:v>412179.62</x:v>
      </x:c>
      <x:c r="I158" s="49" t="n">
        <x:v>439543.41</x:v>
      </x:c>
      <x:c r="J158" s="48" t="n">
        <x:f>IF(COUNT(B158:C158)&lt;2,"",B158-C158)</x:f>
        <x:v>-52.890000000000015</x:v>
      </x:c>
      <x:c r="K158" s="48" t="n">
        <x:f>IF(COUNT(D158,F158)&lt;2,"",D158-F158)</x:f>
        <x:v>171.33000000000004</x:v>
      </x:c>
      <x:c r="L158" s="48" t="n">
        <x:f>IF(COUNT(E158,G158)&lt;2,"",E158-G158)</x:f>
        <x:v>158.92000000000002</x:v>
      </x:c>
      <x:c r="M158" s="31" t="str">
        <x:v>网站结构化接口</x:v>
      </x:c>
      <x:c r="N158" s="36" t="d">
        <x:v>2026-10-28T14:16:22.777Z</x:v>
      </x:c>
    </x:row>
    <x:row r="159">
      <x:c r="A159" s="36" t="d">
        <x:v>2025-06-07T00:00:00.000Z</x:v>
      </x:c>
      <x:c r="B159" s="48" t="n">
        <x:v>235</x:v>
      </x:c>
      <x:c r="C159" s="48" t="n">
        <x:v>226.98</x:v>
      </x:c>
      <x:c r="D159" s="48" t="n">
        <x:v>261.52</x:v>
      </x:c>
      <x:c r="E159" s="48" t="n">
        <x:v>250.3</x:v>
      </x:c>
      <x:c r="F159" s="48" t="n">
        <x:v>130.31</x:v>
      </x:c>
      <x:c r="G159" s="48" t="n">
        <x:v>117.96</x:v>
      </x:c>
      <x:c r="H159" s="49" t="n">
        <x:v>435062.36</x:v>
      </x:c>
      <x:c r="I159" s="49" t="n">
        <x:v>429345.3</x:v>
      </x:c>
      <x:c r="J159" s="48" t="n">
        <x:f>IF(COUNT(B159:C159)&lt;2,"",B159-C159)</x:f>
        <x:v>8.02000000000001</x:v>
      </x:c>
      <x:c r="K159" s="48" t="n">
        <x:f>IF(COUNT(D159,F159)&lt;2,"",D159-F159)</x:f>
        <x:v>131.20999999999998</x:v>
      </x:c>
      <x:c r="L159" s="48" t="n">
        <x:f>IF(COUNT(E159,G159)&lt;2,"",E159-G159)</x:f>
        <x:v>132.34000000000003</x:v>
      </x:c>
      <x:c r="M159" s="31" t="str">
        <x:v>网站结构化接口</x:v>
      </x:c>
      <x:c r="N159" s="36" t="d">
        <x:v>2026-10-28T14:16:22.777Z</x:v>
      </x:c>
    </x:row>
    <x:row r="160">
      <x:c r="A160" s="36" t="d">
        <x:v>2025-06-08T00:00:00.000Z</x:v>
      </x:c>
      <x:c r="B160" s="48" t="n">
        <x:v>203.62</x:v>
      </x:c>
      <x:c r="C160" s="48" t="n">
        <x:v>219.49</x:v>
      </x:c>
      <x:c r="D160" s="48" t="n">
        <x:v>228.48</x:v>
      </x:c>
      <x:c r="E160" s="48" t="n">
        <x:v>244.02</x:v>
      </x:c>
      <x:c r="F160" s="48" t="n">
        <x:v>100.01</x:v>
      </x:c>
      <x:c r="G160" s="48" t="n">
        <x:v>106.45</x:v>
      </x:c>
      <x:c r="H160" s="49" t="n">
        <x:v>415285.2</x:v>
      </x:c>
      <x:c r="I160" s="49" t="n">
        <x:v>418401.47</x:v>
      </x:c>
      <x:c r="J160" s="48" t="n">
        <x:f>IF(COUNT(B160:C160)&lt;2,"",B160-C160)</x:f>
        <x:v>-15.870000000000005</x:v>
      </x:c>
      <x:c r="K160" s="48" t="n">
        <x:f>IF(COUNT(D160,F160)&lt;2,"",D160-F160)</x:f>
        <x:v>128.46999999999997</x:v>
      </x:c>
      <x:c r="L160" s="48" t="n">
        <x:f>IF(COUNT(E160,G160)&lt;2,"",E160-G160)</x:f>
        <x:v>137.57</x:v>
      </x:c>
      <x:c r="M160" s="31" t="str">
        <x:v>网站结构化接口</x:v>
      </x:c>
      <x:c r="N160" s="36" t="d">
        <x:v>2026-10-28T14:16:22.777Z</x:v>
      </x:c>
    </x:row>
    <x:row r="161">
      <x:c r="A161" s="36" t="d">
        <x:v>2025-06-09T00:00:00.000Z</x:v>
      </x:c>
      <x:c r="B161" s="48" t="n">
        <x:v>183.11</x:v>
      </x:c>
      <x:c r="C161" s="48" t="n">
        <x:v>188.4</x:v>
      </x:c>
      <x:c r="D161" s="48" t="n">
        <x:v>215.8</x:v>
      </x:c>
      <x:c r="E161" s="48" t="n">
        <x:v>218.68</x:v>
      </x:c>
      <x:c r="F161" s="48" t="n">
        <x:v>82.7</x:v>
      </x:c>
      <x:c r="G161" s="48" t="n">
        <x:v>95.41</x:v>
      </x:c>
      <x:c r="H161" s="49" t="n">
        <x:v>427606.7</x:v>
      </x:c>
      <x:c r="I161" s="49" t="n">
        <x:v>421705.25</x:v>
      </x:c>
      <x:c r="J161" s="48" t="n">
        <x:f>IF(COUNT(B161:C161)&lt;2,"",B161-C161)</x:f>
        <x:v>-5.289999999999992</x:v>
      </x:c>
      <x:c r="K161" s="48" t="n">
        <x:f>IF(COUNT(D161,F161)&lt;2,"",D161-F161)</x:f>
        <x:v>133.10000000000002</x:v>
      </x:c>
      <x:c r="L161" s="48" t="n">
        <x:f>IF(COUNT(E161,G161)&lt;2,"",E161-G161)</x:f>
        <x:v>123.27000000000001</x:v>
      </x:c>
      <x:c r="M161" s="31" t="str">
        <x:v>网站结构化接口</x:v>
      </x:c>
      <x:c r="N161" s="36" t="d">
        <x:v>2026-10-28T14:16:22.777Z</x:v>
      </x:c>
    </x:row>
    <x:row r="162">
      <x:c r="A162" s="36" t="d">
        <x:v>2025-06-10T00:00:00.000Z</x:v>
      </x:c>
      <x:c r="B162" s="48" t="n">
        <x:v>188.5</x:v>
      </x:c>
      <x:c r="C162" s="48" t="n">
        <x:v>219.18</x:v>
      </x:c>
      <x:c r="D162" s="48" t="n">
        <x:v>217.15</x:v>
      </x:c>
      <x:c r="E162" s="48" t="n">
        <x:v>245.16</x:v>
      </x:c>
      <x:c r="F162" s="48" t="n">
        <x:v>93.85</x:v>
      </x:c>
      <x:c r="G162" s="48" t="n">
        <x:v>119.31</x:v>
      </x:c>
      <x:c r="H162" s="49" t="n">
        <x:v>445355.42</x:v>
      </x:c>
      <x:c r="I162" s="49" t="n">
        <x:v>451431.86</x:v>
      </x:c>
      <x:c r="J162" s="48" t="n">
        <x:f>IF(COUNT(B162:C162)&lt;2,"",B162-C162)</x:f>
        <x:v>-30.680000000000007</x:v>
      </x:c>
      <x:c r="K162" s="48" t="n">
        <x:f>IF(COUNT(D162,F162)&lt;2,"",D162-F162)</x:f>
        <x:v>123.30000000000001</x:v>
      </x:c>
      <x:c r="L162" s="48" t="n">
        <x:f>IF(COUNT(E162,G162)&lt;2,"",E162-G162)</x:f>
        <x:v>125.85</x:v>
      </x:c>
      <x:c r="M162" s="31" t="str">
        <x:v>网站结构化接口</x:v>
      </x:c>
      <x:c r="N162" s="36" t="d">
        <x:v>2026-10-28T14:16:22.777Z</x:v>
      </x:c>
    </x:row>
    <x:row r="163">
      <x:c r="A163" s="36" t="d">
        <x:v>2025-06-11T00:00:00.000Z</x:v>
      </x:c>
      <x:c r="B163" s="48" t="n">
        <x:v>153.73</x:v>
      </x:c>
      <x:c r="C163" s="48" t="n">
        <x:v>175.89</x:v>
      </x:c>
      <x:c r="D163" s="48" t="n">
        <x:v>188.18</x:v>
      </x:c>
      <x:c r="E163" s="48" t="n">
        <x:v>204.41</x:v>
      </x:c>
      <x:c r="F163" s="48" t="n">
        <x:v>76.54</x:v>
      </x:c>
      <x:c r="G163" s="48" t="n">
        <x:v>106.09</x:v>
      </x:c>
      <x:c r="H163" s="49" t="n">
        <x:v>435971.32</x:v>
      </x:c>
      <x:c r="I163" s="49" t="n">
        <x:v>450807.69</x:v>
      </x:c>
      <x:c r="J163" s="48" t="n">
        <x:f>IF(COUNT(B163:C163)&lt;2,"",B163-C163)</x:f>
        <x:v>-22.159999999999997</x:v>
      </x:c>
      <x:c r="K163" s="48" t="n">
        <x:f>IF(COUNT(D163,F163)&lt;2,"",D163-F163)</x:f>
        <x:v>111.64</x:v>
      </x:c>
      <x:c r="L163" s="48" t="n">
        <x:f>IF(COUNT(E163,G163)&lt;2,"",E163-G163)</x:f>
        <x:v>98.32</x:v>
      </x:c>
      <x:c r="M163" s="31" t="str">
        <x:v>网站结构化接口</x:v>
      </x:c>
      <x:c r="N163" s="36" t="d">
        <x:v>2026-10-28T14:16:22.777Z</x:v>
      </x:c>
    </x:row>
    <x:row r="164">
      <x:c r="A164" s="36" t="d">
        <x:v>2025-06-12T00:00:00.000Z</x:v>
      </x:c>
      <x:c r="B164" s="48" t="n">
        <x:v>209.78</x:v>
      </x:c>
      <x:c r="C164" s="48" t="n">
        <x:v>242.29</x:v>
      </x:c>
      <x:c r="D164" s="48" t="n">
        <x:v>248.8</x:v>
      </x:c>
      <x:c r="E164" s="48" t="n">
        <x:v>287.55</x:v>
      </x:c>
      <x:c r="F164" s="48" t="n">
        <x:v>108.8</x:v>
      </x:c>
      <x:c r="G164" s="48" t="n">
        <x:v>113.37</x:v>
      </x:c>
      <x:c r="H164" s="49" t="n">
        <x:v>462200.27</x:v>
      </x:c>
      <x:c r="I164" s="49" t="n">
        <x:v>462454.04</x:v>
      </x:c>
      <x:c r="J164" s="48" t="n">
        <x:f>IF(COUNT(B164:C164)&lt;2,"",B164-C164)</x:f>
        <x:v>-32.50999999999999</x:v>
      </x:c>
      <x:c r="K164" s="48" t="n">
        <x:f>IF(COUNT(D164,F164)&lt;2,"",D164-F164)</x:f>
        <x:v>140</x:v>
      </x:c>
      <x:c r="L164" s="48" t="n">
        <x:f>IF(COUNT(E164,G164)&lt;2,"",E164-G164)</x:f>
        <x:v>174.18</x:v>
      </x:c>
      <x:c r="M164" s="31" t="str">
        <x:v>网站结构化接口</x:v>
      </x:c>
      <x:c r="N164" s="36" t="d">
        <x:v>2026-10-28T14:16:22.777Z</x:v>
      </x:c>
    </x:row>
    <x:row r="165">
      <x:c r="A165" s="36" t="d">
        <x:v>2025-06-13T00:00:00.000Z</x:v>
      </x:c>
      <x:c r="B165" s="48" t="n">
        <x:v>310.66</x:v>
      </x:c>
      <x:c r="C165" s="48" t="n">
        <x:v>305.38</x:v>
      </x:c>
      <x:c r="D165" s="48" t="n">
        <x:v>347.65</x:v>
      </x:c>
      <x:c r="E165" s="48" t="n">
        <x:v>330.03</x:v>
      </x:c>
      <x:c r="F165" s="48" t="n">
        <x:v>158.03</x:v>
      </x:c>
      <x:c r="G165" s="48" t="n">
        <x:v>188.5</x:v>
      </x:c>
      <x:c r="H165" s="49" t="n">
        <x:v>508286.83</x:v>
      </x:c>
      <x:c r="I165" s="49" t="n">
        <x:v>511066.33</x:v>
      </x:c>
      <x:c r="J165" s="48" t="n">
        <x:f>IF(COUNT(B165:C165)&lt;2,"",B165-C165)</x:f>
        <x:v>5.28000000000003</x:v>
      </x:c>
      <x:c r="K165" s="48" t="n">
        <x:f>IF(COUNT(D165,F165)&lt;2,"",D165-F165)</x:f>
        <x:v>189.61999999999998</x:v>
      </x:c>
      <x:c r="L165" s="48" t="n">
        <x:f>IF(COUNT(E165,G165)&lt;2,"",E165-G165)</x:f>
        <x:v>141.52999999999997</x:v>
      </x:c>
      <x:c r="M165" s="31" t="str">
        <x:v>网站结构化接口</x:v>
      </x:c>
      <x:c r="N165" s="36" t="d">
        <x:v>2026-10-28T14:16:22.777Z</x:v>
      </x:c>
    </x:row>
    <x:row r="166">
      <x:c r="A166" s="36" t="d">
        <x:v>2025-06-14T00:00:00.000Z</x:v>
      </x:c>
      <x:c r="B166" s="48" t="n">
        <x:v>198.79</x:v>
      </x:c>
      <x:c r="C166" s="48" t="n">
        <x:v>127.2</x:v>
      </x:c>
      <x:c r="D166" s="48" t="n">
        <x:v>231.5</x:v>
      </x:c>
      <x:c r="E166" s="48" t="n">
        <x:v>145.7</x:v>
      </x:c>
      <x:c r="F166" s="48" t="n">
        <x:v>115.13</x:v>
      </x:c>
      <x:c r="G166" s="48" t="n">
        <x:v>84.7</x:v>
      </x:c>
      <x:c r="H166" s="49" t="n">
        <x:v>457934.4</x:v>
      </x:c>
      <x:c r="I166" s="49" t="n">
        <x:v>398939</x:v>
      </x:c>
      <x:c r="J166" s="48" t="n">
        <x:f>IF(COUNT(B166:C166)&lt;2,"",B166-C166)</x:f>
        <x:v>71.58999999999999</x:v>
      </x:c>
      <x:c r="K166" s="48" t="n">
        <x:f>IF(COUNT(D166,F166)&lt;2,"",D166-F166)</x:f>
        <x:v>116.37</x:v>
      </x:c>
      <x:c r="L166" s="48" t="n">
        <x:f>IF(COUNT(E166,G166)&lt;2,"",E166-G166)</x:f>
        <x:v>60.999999999999986</x:v>
      </x:c>
      <x:c r="M166" s="31" t="str">
        <x:v>网站结构化接口</x:v>
      </x:c>
      <x:c r="N166" s="36" t="d">
        <x:v>2026-10-28T14:16:22.777Z</x:v>
      </x:c>
    </x:row>
    <x:row r="167">
      <x:c r="A167" s="36" t="d">
        <x:v>2025-06-15T00:00:00.000Z</x:v>
      </x:c>
      <x:c r="B167" s="48" t="n">
        <x:v>112.13</x:v>
      </x:c>
      <x:c r="C167" s="48" t="n">
        <x:v>91.53</x:v>
      </x:c>
      <x:c r="D167" s="48" t="n">
        <x:v>129.3</x:v>
      </x:c>
      <x:c r="E167" s="48" t="n">
        <x:v>109.63</x:v>
      </x:c>
      <x:c r="F167" s="48" t="n">
        <x:v>77.27</x:v>
      </x:c>
      <x:c r="G167" s="48" t="n">
        <x:v>56.01</x:v>
      </x:c>
      <x:c r="H167" s="49" t="n">
        <x:v>364048.31</x:v>
      </x:c>
      <x:c r="I167" s="49" t="n">
        <x:v>345751.36</x:v>
      </x:c>
      <x:c r="J167" s="48" t="n">
        <x:f>IF(COUNT(B167:C167)&lt;2,"",B167-C167)</x:f>
        <x:v>20.599999999999994</x:v>
      </x:c>
      <x:c r="K167" s="48" t="n">
        <x:f>IF(COUNT(D167,F167)&lt;2,"",D167-F167)</x:f>
        <x:v>52.030000000000015</x:v>
      </x:c>
      <x:c r="L167" s="48" t="n">
        <x:f>IF(COUNT(E167,G167)&lt;2,"",E167-G167)</x:f>
        <x:v>53.62</x:v>
      </x:c>
      <x:c r="M167" s="31" t="str">
        <x:v>网站结构化接口</x:v>
      </x:c>
      <x:c r="N167" s="36" t="d">
        <x:v>2026-10-28T14:16:22.777Z</x:v>
      </x:c>
    </x:row>
    <x:row r="168">
      <x:c r="A168" s="36" t="d">
        <x:v>2025-06-16T00:00:00.000Z</x:v>
      </x:c>
      <x:c r="B168" s="48" t="n">
        <x:v>190.02</x:v>
      </x:c>
      <x:c r="C168" s="48" t="n">
        <x:v>210.99</x:v>
      </x:c>
      <x:c r="D168" s="48" t="n">
        <x:v>218.98</x:v>
      </x:c>
      <x:c r="E168" s="48" t="n">
        <x:v>242.08</x:v>
      </x:c>
      <x:c r="F168" s="48" t="n">
        <x:v>102.2</x:v>
      </x:c>
      <x:c r="G168" s="48" t="n">
        <x:v>107.57</x:v>
      </x:c>
      <x:c r="H168" s="49" t="n">
        <x:v>398653.49</x:v>
      </x:c>
      <x:c r="I168" s="49" t="n">
        <x:v>410247.64</x:v>
      </x:c>
      <x:c r="J168" s="48" t="n">
        <x:f>IF(COUNT(B168:C168)&lt;2,"",B168-C168)</x:f>
        <x:v>-20.97</x:v>
      </x:c>
      <x:c r="K168" s="48" t="n">
        <x:f>IF(COUNT(D168,F168)&lt;2,"",D168-F168)</x:f>
        <x:v>116.77999999999999</x:v>
      </x:c>
      <x:c r="L168" s="48" t="n">
        <x:f>IF(COUNT(E168,G168)&lt;2,"",E168-G168)</x:f>
        <x:v>134.51000000000002</x:v>
      </x:c>
      <x:c r="M168" s="31" t="str">
        <x:v>网站结构化接口</x:v>
      </x:c>
      <x:c r="N168" s="36" t="d">
        <x:v>2026-10-28T14:16:22.777Z</x:v>
      </x:c>
    </x:row>
    <x:row r="169">
      <x:c r="A169" s="36" t="d">
        <x:v>2025-06-17T00:00:00.000Z</x:v>
      </x:c>
      <x:c r="B169" s="48" t="n">
        <x:v>297.34</x:v>
      </x:c>
      <x:c r="C169" s="48" t="n">
        <x:v>248.94</x:v>
      </x:c>
      <x:c r="D169" s="48" t="n">
        <x:v>334.56</x:v>
      </x:c>
      <x:c r="E169" s="48" t="n">
        <x:v>279.3</x:v>
      </x:c>
      <x:c r="F169" s="48" t="n">
        <x:v>187.23</x:v>
      </x:c>
      <x:c r="G169" s="48" t="n">
        <x:v>164.61</x:v>
      </x:c>
      <x:c r="H169" s="49" t="n">
        <x:v>462530.06</x:v>
      </x:c>
      <x:c r="I169" s="49" t="n">
        <x:v>456071.78</x:v>
      </x:c>
      <x:c r="J169" s="48" t="n">
        <x:f>IF(COUNT(B169:C169)&lt;2,"",B169-C169)</x:f>
        <x:v>48.39999999999998</x:v>
      </x:c>
      <x:c r="K169" s="48" t="n">
        <x:f>IF(COUNT(D169,F169)&lt;2,"",D169-F169)</x:f>
        <x:v>147.33</x:v>
      </x:c>
      <x:c r="L169" s="48" t="n">
        <x:f>IF(COUNT(E169,G169)&lt;2,"",E169-G169)</x:f>
        <x:v>114.69</x:v>
      </x:c>
      <x:c r="M169" s="31" t="str">
        <x:v>网站结构化接口</x:v>
      </x:c>
      <x:c r="N169" s="36" t="d">
        <x:v>2026-10-28T14:16:22.777Z</x:v>
      </x:c>
    </x:row>
    <x:row r="170">
      <x:c r="A170" s="36" t="d">
        <x:v>2025-06-18T00:00:00.000Z</x:v>
      </x:c>
      <x:c r="B170" s="48" t="n">
        <x:v>174.98</x:v>
      </x:c>
      <x:c r="C170" s="48" t="n">
        <x:v>266</x:v>
      </x:c>
      <x:c r="D170" s="48" t="n">
        <x:v>196.54</x:v>
      </x:c>
      <x:c r="E170" s="48" t="n">
        <x:v>286.07</x:v>
      </x:c>
      <x:c r="F170" s="48" t="n">
        <x:v>104.61</x:v>
      </x:c>
      <x:c r="G170" s="48" t="n">
        <x:v>179.22</x:v>
      </x:c>
      <x:c r="H170" s="49" t="n">
        <x:v>398105.31</x:v>
      </x:c>
      <x:c r="I170" s="49" t="n">
        <x:v>448702.33</x:v>
      </x:c>
      <x:c r="J170" s="48" t="n">
        <x:f>IF(COUNT(B170:C170)&lt;2,"",B170-C170)</x:f>
        <x:v>-91.02000000000001</x:v>
      </x:c>
      <x:c r="K170" s="48" t="n">
        <x:f>IF(COUNT(D170,F170)&lt;2,"",D170-F170)</x:f>
        <x:v>91.92999999999999</x:v>
      </x:c>
      <x:c r="L170" s="48" t="n">
        <x:f>IF(COUNT(E170,G170)&lt;2,"",E170-G170)</x:f>
        <x:v>106.85</x:v>
      </x:c>
      <x:c r="M170" s="31" t="str">
        <x:v>网站结构化接口</x:v>
      </x:c>
      <x:c r="N170" s="36" t="d">
        <x:v>2026-10-28T14:16:22.777Z</x:v>
      </x:c>
    </x:row>
    <x:row r="171">
      <x:c r="A171" s="36" t="d">
        <x:v>2025-06-19T00:00:00.000Z</x:v>
      </x:c>
      <x:c r="B171" s="48" t="n">
        <x:v>266.32</x:v>
      </x:c>
      <x:c r="C171" s="48" t="n">
        <x:v>331.57</x:v>
      </x:c>
      <x:c r="D171" s="48" t="n">
        <x:v>279.31</x:v>
      </x:c>
      <x:c r="E171" s="48" t="n">
        <x:v>342.06</x:v>
      </x:c>
      <x:c r="F171" s="48" t="n">
        <x:v>203.89</x:v>
      </x:c>
      <x:c r="G171" s="48" t="n">
        <x:v>269.43</x:v>
      </x:c>
      <x:c r="H171" s="49" t="n">
        <x:v>432627.3</x:v>
      </x:c>
      <x:c r="I171" s="49" t="n">
        <x:v>465862.51</x:v>
      </x:c>
      <x:c r="J171" s="48" t="n">
        <x:f>IF(COUNT(B171:C171)&lt;2,"",B171-C171)</x:f>
        <x:v>-65.25</x:v>
      </x:c>
      <x:c r="K171" s="48" t="n">
        <x:f>IF(COUNT(D171,F171)&lt;2,"",D171-F171)</x:f>
        <x:v>75.42000000000002</x:v>
      </x:c>
      <x:c r="L171" s="48" t="n">
        <x:f>IF(COUNT(E171,G171)&lt;2,"",E171-G171)</x:f>
        <x:v>72.63</x:v>
      </x:c>
      <x:c r="M171" s="31" t="str">
        <x:v>网站结构化接口</x:v>
      </x:c>
      <x:c r="N171" s="36" t="d">
        <x:v>2026-10-28T14:16:22.777Z</x:v>
      </x:c>
    </x:row>
    <x:row r="172">
      <x:c r="A172" s="36" t="d">
        <x:v>2025-06-20T00:00:00.000Z</x:v>
      </x:c>
      <x:c r="B172" s="48" t="n">
        <x:v>274.8</x:v>
      </x:c>
      <x:c r="C172" s="48" t="n">
        <x:v>320.8</x:v>
      </x:c>
      <x:c r="D172" s="48" t="n">
        <x:v>302.78</x:v>
      </x:c>
      <x:c r="E172" s="48" t="n">
        <x:v>336.78</x:v>
      </x:c>
      <x:c r="F172" s="48" t="n">
        <x:v>151.84</x:v>
      </x:c>
      <x:c r="G172" s="48" t="n">
        <x:v>226.66</x:v>
      </x:c>
      <x:c r="H172" s="49" t="n">
        <x:v>473001.73</x:v>
      </x:c>
      <x:c r="I172" s="49" t="n">
        <x:v>462844.66</x:v>
      </x:c>
      <x:c r="J172" s="48" t="n">
        <x:f>IF(COUNT(B172:C172)&lt;2,"",B172-C172)</x:f>
        <x:v>-46</x:v>
      </x:c>
      <x:c r="K172" s="48" t="n">
        <x:f>IF(COUNT(D172,F172)&lt;2,"",D172-F172)</x:f>
        <x:v>150.93999999999997</x:v>
      </x:c>
      <x:c r="L172" s="48" t="n">
        <x:f>IF(COUNT(E172,G172)&lt;2,"",E172-G172)</x:f>
        <x:v>110.11999999999998</x:v>
      </x:c>
      <x:c r="M172" s="31" t="str">
        <x:v>网站结构化接口</x:v>
      </x:c>
      <x:c r="N172" s="36" t="d">
        <x:v>2026-10-28T14:16:22.777Z</x:v>
      </x:c>
    </x:row>
    <x:row r="173">
      <x:c r="A173" s="36" t="d">
        <x:v>2025-06-21T00:00:00.000Z</x:v>
      </x:c>
      <x:c r="B173" s="48" t="n">
        <x:v>230.79</x:v>
      </x:c>
      <x:c r="C173" s="48" t="n">
        <x:v>282.07</x:v>
      </x:c>
      <x:c r="D173" s="48" t="n">
        <x:v>260.19</x:v>
      </x:c>
      <x:c r="E173" s="48" t="n">
        <x:v>309.74</x:v>
      </x:c>
      <x:c r="F173" s="48" t="n">
        <x:v>119.42</x:v>
      </x:c>
      <x:c r="G173" s="48" t="n">
        <x:v>137.96</x:v>
      </x:c>
      <x:c r="H173" s="49" t="n">
        <x:v>449955.31</x:v>
      </x:c>
      <x:c r="I173" s="49" t="n">
        <x:v>449846.85</x:v>
      </x:c>
      <x:c r="J173" s="48" t="n">
        <x:f>IF(COUNT(B173:C173)&lt;2,"",B173-C173)</x:f>
        <x:v>-51.28</x:v>
      </x:c>
      <x:c r="K173" s="48" t="n">
        <x:f>IF(COUNT(D173,F173)&lt;2,"",D173-F173)</x:f>
        <x:v>140.76999999999998</x:v>
      </x:c>
      <x:c r="L173" s="48" t="n">
        <x:f>IF(COUNT(E173,G173)&lt;2,"",E173-G173)</x:f>
        <x:v>171.78</x:v>
      </x:c>
      <x:c r="M173" s="31" t="str">
        <x:v>网站结构化接口</x:v>
      </x:c>
      <x:c r="N173" s="36" t="d">
        <x:v>2026-10-28T14:16:22.777Z</x:v>
      </x:c>
    </x:row>
    <x:row r="174">
      <x:c r="A174" s="36" t="d">
        <x:v>2025-06-22T00:00:00.000Z</x:v>
      </x:c>
      <x:c r="B174" s="48" t="n">
        <x:v>298.59</x:v>
      </x:c>
      <x:c r="C174" s="48" t="n">
        <x:v>236.1</x:v>
      </x:c>
      <x:c r="D174" s="48" t="n">
        <x:v>336.87</x:v>
      </x:c>
      <x:c r="E174" s="48" t="n">
        <x:v>258.25</x:v>
      </x:c>
      <x:c r="F174" s="48" t="n">
        <x:v>161.06</x:v>
      </x:c>
      <x:c r="G174" s="48" t="n">
        <x:v>149.77</x:v>
      </x:c>
      <x:c r="H174" s="49" t="n">
        <x:v>467545.99</x:v>
      </x:c>
      <x:c r="I174" s="49" t="n">
        <x:v>438921.71</x:v>
      </x:c>
      <x:c r="J174" s="48" t="n">
        <x:f>IF(COUNT(B174:C174)&lt;2,"",B174-C174)</x:f>
        <x:v>62.48999999999998</x:v>
      </x:c>
      <x:c r="K174" s="48" t="n">
        <x:f>IF(COUNT(D174,F174)&lt;2,"",D174-F174)</x:f>
        <x:v>175.81</x:v>
      </x:c>
      <x:c r="L174" s="48" t="n">
        <x:f>IF(COUNT(E174,G174)&lt;2,"",E174-G174)</x:f>
        <x:v>108.47999999999999</x:v>
      </x:c>
      <x:c r="M174" s="31" t="str">
        <x:v>网站结构化接口</x:v>
      </x:c>
      <x:c r="N174" s="36" t="d">
        <x:v>2026-10-28T14:16:22.777Z</x:v>
      </x:c>
    </x:row>
    <x:row r="175">
      <x:c r="A175" s="36" t="d">
        <x:v>2025-06-23T00:00:00.000Z</x:v>
      </x:c>
      <x:c r="B175" s="48" t="n">
        <x:v>225.93</x:v>
      </x:c>
      <x:c r="C175" s="48" t="n">
        <x:v>217.43</x:v>
      </x:c>
      <x:c r="D175" s="48" t="n">
        <x:v>252.77</x:v>
      </x:c>
      <x:c r="E175" s="48" t="n">
        <x:v>239.19</x:v>
      </x:c>
      <x:c r="F175" s="48" t="n">
        <x:v>133.61</x:v>
      </x:c>
      <x:c r="G175" s="48" t="n">
        <x:v>145.23</x:v>
      </x:c>
      <x:c r="H175" s="49" t="n">
        <x:v>439371.25</x:v>
      </x:c>
      <x:c r="I175" s="49" t="n">
        <x:v>424961.3</x:v>
      </x:c>
      <x:c r="J175" s="48" t="n">
        <x:f>IF(COUNT(B175:C175)&lt;2,"",B175-C175)</x:f>
        <x:v>8.5</x:v>
      </x:c>
      <x:c r="K175" s="48" t="n">
        <x:f>IF(COUNT(D175,F175)&lt;2,"",D175-F175)</x:f>
        <x:v>119.16</x:v>
      </x:c>
      <x:c r="L175" s="48" t="n">
        <x:f>IF(COUNT(E175,G175)&lt;2,"",E175-G175)</x:f>
        <x:v>93.96000000000001</x:v>
      </x:c>
      <x:c r="M175" s="31" t="str">
        <x:v>网站结构化接口</x:v>
      </x:c>
      <x:c r="N175" s="36" t="d">
        <x:v>2026-10-28T14:16:22.777Z</x:v>
      </x:c>
    </x:row>
    <x:row r="176">
      <x:c r="A176" s="36" t="d">
        <x:v>2025-06-24T00:00:00.000Z</x:v>
      </x:c>
      <x:c r="B176" s="48" t="n">
        <x:v>210.51</x:v>
      </x:c>
      <x:c r="C176" s="48" t="n">
        <x:v>201.34</x:v>
      </x:c>
      <x:c r="D176" s="48" t="n">
        <x:v>235.72</x:v>
      </x:c>
      <x:c r="E176" s="48" t="n">
        <x:v>212.78</x:v>
      </x:c>
      <x:c r="F176" s="48" t="n">
        <x:v>130.01</x:v>
      </x:c>
      <x:c r="G176" s="48" t="n">
        <x:v>158.78</x:v>
      </x:c>
      <x:c r="H176" s="49" t="n">
        <x:v>453740.58</x:v>
      </x:c>
      <x:c r="I176" s="49" t="n">
        <x:v>420987.2</x:v>
      </x:c>
      <x:c r="J176" s="48" t="n">
        <x:f>IF(COUNT(B176:C176)&lt;2,"",B176-C176)</x:f>
        <x:v>9.169999999999987</x:v>
      </x:c>
      <x:c r="K176" s="48" t="n">
        <x:f>IF(COUNT(D176,F176)&lt;2,"",D176-F176)</x:f>
        <x:v>105.71000000000001</x:v>
      </x:c>
      <x:c r="L176" s="48" t="n">
        <x:f>IF(COUNT(E176,G176)&lt;2,"",E176-G176)</x:f>
        <x:v>54</x:v>
      </x:c>
      <x:c r="M176" s="31" t="str">
        <x:v>网站结构化接口</x:v>
      </x:c>
      <x:c r="N176" s="36" t="d">
        <x:v>2026-10-28T14:16:22.777Z</x:v>
      </x:c>
    </x:row>
    <x:row r="177">
      <x:c r="A177" s="36" t="d">
        <x:v>2025-06-25T00:00:00.000Z</x:v>
      </x:c>
      <x:c r="B177" s="48" t="n">
        <x:v>242.59</x:v>
      </x:c>
      <x:c r="C177" s="48" t="n">
        <x:v>223.81</x:v>
      </x:c>
      <x:c r="D177" s="48" t="n">
        <x:v>252.7</x:v>
      </x:c>
      <x:c r="E177" s="48" t="n">
        <x:v>230.94</x:v>
      </x:c>
      <x:c r="F177" s="48" t="n">
        <x:v>203.51</x:v>
      </x:c>
      <x:c r="G177" s="48" t="n">
        <x:v>190.41</x:v>
      </x:c>
      <x:c r="H177" s="49" t="n">
        <x:v>423742.52</x:v>
      </x:c>
      <x:c r="I177" s="49" t="n">
        <x:v>395622.5</x:v>
      </x:c>
      <x:c r="J177" s="48" t="n">
        <x:f>IF(COUNT(B177:C177)&lt;2,"",B177-C177)</x:f>
        <x:v>18.78</x:v>
      </x:c>
      <x:c r="K177" s="48" t="n">
        <x:f>IF(COUNT(D177,F177)&lt;2,"",D177-F177)</x:f>
        <x:v>49.19</x:v>
      </x:c>
      <x:c r="L177" s="48" t="n">
        <x:f>IF(COUNT(E177,G177)&lt;2,"",E177-G177)</x:f>
        <x:v>40.53</x:v>
      </x:c>
      <x:c r="M177" s="31" t="str">
        <x:v>网站结构化接口</x:v>
      </x:c>
      <x:c r="N177" s="36" t="d">
        <x:v>2026-10-28T14:16:22.777Z</x:v>
      </x:c>
    </x:row>
    <x:row r="178">
      <x:c r="A178" s="36" t="d">
        <x:v>2025-06-26T00:00:00.000Z</x:v>
      </x:c>
      <x:c r="B178" s="48" t="n">
        <x:v>219.7</x:v>
      </x:c>
      <x:c r="C178" s="48"/>
      <x:c r="D178" s="48" t="n">
        <x:v>249.43</x:v>
      </x:c>
      <x:c r="E178" s="48"/>
      <x:c r="F178" s="48" t="n">
        <x:v>106.62</x:v>
      </x:c>
      <x:c r="G178" s="48"/>
      <x:c r="H178" s="49" t="n">
        <x:v>405451.95</x:v>
      </x:c>
      <x:c r="I178" s="49" t="n">
        <x:v>0</x:v>
      </x:c>
      <x:c r="J178" s="48" t="str">
        <x:f>IF(COUNT(B178:C178)&lt;2,"",B178-C178)</x:f>
      </x:c>
      <x:c r="K178" s="48" t="n">
        <x:f>IF(COUNT(D178,F178)&lt;2,"",D178-F178)</x:f>
        <x:v>142.81</x:v>
      </x:c>
      <x:c r="L178" s="48" t="str">
        <x:f>IF(COUNT(E178,G178)&lt;2,"",E178-G178)</x:f>
      </x:c>
      <x:c r="M178" s="31" t="str">
        <x:v>网站结构化接口</x:v>
      </x:c>
      <x:c r="N178" s="36" t="d">
        <x:v>2026-10-28T14:16:22.777Z</x:v>
      </x:c>
    </x:row>
    <x:row r="179">
      <x:c r="A179" s="36" t="d">
        <x:v>2025-06-27T00:00:00.000Z</x:v>
      </x:c>
      <x:c r="B179" s="48" t="n">
        <x:v>219.15</x:v>
      </x:c>
      <x:c r="C179" s="48" t="n">
        <x:v>222.39</x:v>
      </x:c>
      <x:c r="D179" s="48" t="n">
        <x:v>246.08</x:v>
      </x:c>
      <x:c r="E179" s="48" t="n">
        <x:v>237.31</x:v>
      </x:c>
      <x:c r="F179" s="48" t="n">
        <x:v>119.91</x:v>
      </x:c>
      <x:c r="G179" s="48" t="n">
        <x:v>156.78</x:v>
      </x:c>
      <x:c r="H179" s="49" t="n">
        <x:v>430774.79</x:v>
      </x:c>
      <x:c r="I179" s="49" t="n">
        <x:v>403855.93</x:v>
      </x:c>
      <x:c r="J179" s="48" t="n">
        <x:f>IF(COUNT(B179:C179)&lt;2,"",B179-C179)</x:f>
        <x:v>-3.2399999999999807</x:v>
      </x:c>
      <x:c r="K179" s="48" t="n">
        <x:f>IF(COUNT(D179,F179)&lt;2,"",D179-F179)</x:f>
        <x:v>126.17000000000002</x:v>
      </x:c>
      <x:c r="L179" s="48" t="n">
        <x:f>IF(COUNT(E179,G179)&lt;2,"",E179-G179)</x:f>
        <x:v>80.53</x:v>
      </x:c>
      <x:c r="M179" s="31" t="str">
        <x:v>网站结构化接口</x:v>
      </x:c>
      <x:c r="N179" s="36" t="d">
        <x:v>2026-10-28T14:16:22.777Z</x:v>
      </x:c>
    </x:row>
    <x:row r="180">
      <x:c r="A180" s="36" t="d">
        <x:v>2025-06-28T00:00:00.000Z</x:v>
      </x:c>
      <x:c r="B180" s="48" t="n">
        <x:v>236.91</x:v>
      </x:c>
      <x:c r="C180" s="48" t="n">
        <x:v>220.37</x:v>
      </x:c>
      <x:c r="D180" s="48" t="n">
        <x:v>263.24</x:v>
      </x:c>
      <x:c r="E180" s="48" t="n">
        <x:v>236.91</x:v>
      </x:c>
      <x:c r="F180" s="48" t="n">
        <x:v>114.39</x:v>
      </x:c>
      <x:c r="G180" s="48" t="n">
        <x:v>143.82</x:v>
      </x:c>
      <x:c r="H180" s="49" t="n">
        <x:v>417171.79</x:v>
      </x:c>
      <x:c r="I180" s="49" t="n">
        <x:v>410765.26</x:v>
      </x:c>
      <x:c r="J180" s="48" t="n">
        <x:f>IF(COUNT(B180:C180)&lt;2,"",B180-C180)</x:f>
        <x:v>16.539999999999992</x:v>
      </x:c>
      <x:c r="K180" s="48" t="n">
        <x:f>IF(COUNT(D180,F180)&lt;2,"",D180-F180)</x:f>
        <x:v>148.85000000000002</x:v>
      </x:c>
      <x:c r="L180" s="48" t="n">
        <x:f>IF(COUNT(E180,G180)&lt;2,"",E180-G180)</x:f>
        <x:v>93.09</x:v>
      </x:c>
      <x:c r="M180" s="31" t="str">
        <x:v>网站结构化接口</x:v>
      </x:c>
      <x:c r="N180" s="36" t="d">
        <x:v>2026-10-28T14:16:22.777Z</x:v>
      </x:c>
    </x:row>
    <x:row r="181">
      <x:c r="A181" s="36" t="d">
        <x:v>2025-06-29T00:00:00.000Z</x:v>
      </x:c>
      <x:c r="B181" s="48" t="n">
        <x:v>228.42</x:v>
      </x:c>
      <x:c r="C181" s="48" t="n">
        <x:v>205.27</x:v>
      </x:c>
      <x:c r="D181" s="48" t="n">
        <x:v>253.52</x:v>
      </x:c>
      <x:c r="E181" s="48" t="n">
        <x:v>222.22</x:v>
      </x:c>
      <x:c r="F181" s="48" t="n">
        <x:v>123.34</x:v>
      </x:c>
      <x:c r="G181" s="48" t="n">
        <x:v>144.4</x:v>
      </x:c>
      <x:c r="H181" s="49" t="n">
        <x:v>429256.25</x:v>
      </x:c>
      <x:c r="I181" s="49" t="n">
        <x:v>416762.43</x:v>
      </x:c>
      <x:c r="J181" s="48" t="n">
        <x:f>IF(COUNT(B181:C181)&lt;2,"",B181-C181)</x:f>
        <x:v>23.149999999999977</x:v>
      </x:c>
      <x:c r="K181" s="48" t="n">
        <x:f>IF(COUNT(D181,F181)&lt;2,"",D181-F181)</x:f>
        <x:v>130.18</x:v>
      </x:c>
      <x:c r="L181" s="48" t="n">
        <x:f>IF(COUNT(E181,G181)&lt;2,"",E181-G181)</x:f>
        <x:v>77.82</x:v>
      </x:c>
      <x:c r="M181" s="31" t="str">
        <x:v>网站结构化接口</x:v>
      </x:c>
      <x:c r="N181" s="36" t="d">
        <x:v>2026-10-28T14:16:22.777Z</x:v>
      </x:c>
    </x:row>
    <x:row r="182">
      <x:c r="A182" s="36" t="d">
        <x:v>2025-06-30T00:00:00.000Z</x:v>
      </x:c>
      <x:c r="B182" s="48" t="n">
        <x:v>262.73</x:v>
      </x:c>
      <x:c r="C182" s="48" t="n">
        <x:v>233.43</x:v>
      </x:c>
      <x:c r="D182" s="48" t="n">
        <x:v>265.2</x:v>
      </x:c>
      <x:c r="E182" s="48" t="n">
        <x:v>235.4</x:v>
      </x:c>
      <x:c r="F182" s="48" t="n">
        <x:v>247.12</x:v>
      </x:c>
      <x:c r="G182" s="48" t="n">
        <x:v>221.18</x:v>
      </x:c>
      <x:c r="H182" s="49" t="n">
        <x:v>436689.48</x:v>
      </x:c>
      <x:c r="I182" s="49" t="n">
        <x:v>388006.15</x:v>
      </x:c>
      <x:c r="J182" s="48" t="n">
        <x:f>IF(COUNT(B182:C182)&lt;2,"",B182-C182)</x:f>
        <x:v>29.30000000000001</x:v>
      </x:c>
      <x:c r="K182" s="48" t="n">
        <x:f>IF(COUNT(D182,F182)&lt;2,"",D182-F182)</x:f>
        <x:v>18.079999999999984</x:v>
      </x:c>
      <x:c r="L182" s="48" t="n">
        <x:f>IF(COUNT(E182,G182)&lt;2,"",E182-G182)</x:f>
        <x:v>14.219999999999999</x:v>
      </x:c>
      <x:c r="M182" s="31" t="str">
        <x:v>网站结构化接口</x:v>
      </x:c>
      <x:c r="N182" s="36" t="d">
        <x:v>2026-10-28T14:16:22.777Z</x:v>
      </x:c>
    </x:row>
    <x:row r="183">
      <x:c r="A183" s="36" t="d">
        <x:v>2025-07-01T00:00:00.000Z</x:v>
      </x:c>
      <x:c r="B183" s="48" t="n">
        <x:v>240.99</x:v>
      </x:c>
      <x:c r="C183" s="48" t="n">
        <x:v>255.23</x:v>
      </x:c>
      <x:c r="D183" s="48" t="n">
        <x:v>269.81</x:v>
      </x:c>
      <x:c r="E183" s="48" t="n">
        <x:v>273.83</x:v>
      </x:c>
      <x:c r="F183" s="48" t="n">
        <x:v>134.58</x:v>
      </x:c>
      <x:c r="G183" s="48" t="n">
        <x:v>174.59</x:v>
      </x:c>
      <x:c r="H183" s="49" t="n">
        <x:v>443989.01</x:v>
      </x:c>
      <x:c r="I183" s="49" t="n">
        <x:v>450224.61</x:v>
      </x:c>
      <x:c r="J183" s="48" t="n">
        <x:f>IF(COUNT(B183:C183)&lt;2,"",B183-C183)</x:f>
        <x:v>-14.23999999999998</x:v>
      </x:c>
      <x:c r="K183" s="48" t="n">
        <x:f>IF(COUNT(D183,F183)&lt;2,"",D183-F183)</x:f>
        <x:v>135.23</x:v>
      </x:c>
      <x:c r="L183" s="48" t="n">
        <x:f>IF(COUNT(E183,G183)&lt;2,"",E183-G183)</x:f>
        <x:v>99.23999999999998</x:v>
      </x:c>
      <x:c r="M183" s="31" t="str">
        <x:v>网站结构化接口</x:v>
      </x:c>
      <x:c r="N183" s="36" t="d">
        <x:v>2026-10-28T14:16:22.777Z</x:v>
      </x:c>
    </x:row>
    <x:row r="184">
      <x:c r="A184" s="36" t="d">
        <x:v>2025-07-02T00:00:00.000Z</x:v>
      </x:c>
      <x:c r="B184" s="48" t="n">
        <x:v>200.66</x:v>
      </x:c>
      <x:c r="C184" s="48" t="n">
        <x:v>231.37</x:v>
      </x:c>
      <x:c r="D184" s="48" t="n">
        <x:v>223.51</x:v>
      </x:c>
      <x:c r="E184" s="48" t="n">
        <x:v>246.49</x:v>
      </x:c>
      <x:c r="F184" s="48" t="n">
        <x:v>125.17</x:v>
      </x:c>
      <x:c r="G184" s="48" t="n">
        <x:v>176.98</x:v>
      </x:c>
      <x:c r="H184" s="49" t="n">
        <x:v>440879.24</x:v>
      </x:c>
      <x:c r="I184" s="49" t="n">
        <x:v>467066.52</x:v>
      </x:c>
      <x:c r="J184" s="48" t="n">
        <x:f>IF(COUNT(B184:C184)&lt;2,"",B184-C184)</x:f>
        <x:v>-30.710000000000008</x:v>
      </x:c>
      <x:c r="K184" s="48" t="n">
        <x:f>IF(COUNT(D184,F184)&lt;2,"",D184-F184)</x:f>
        <x:v>98.33999999999999</x:v>
      </x:c>
      <x:c r="L184" s="48" t="n">
        <x:f>IF(COUNT(E184,G184)&lt;2,"",E184-G184)</x:f>
        <x:v>69.51000000000002</x:v>
      </x:c>
      <x:c r="M184" s="31" t="str">
        <x:v>网站结构化接口</x:v>
      </x:c>
      <x:c r="N184" s="36" t="d">
        <x:v>2026-10-28T14:16:22.777Z</x:v>
      </x:c>
    </x:row>
    <x:row r="185">
      <x:c r="A185" s="36" t="d">
        <x:v>2025-07-03T00:00:00.000Z</x:v>
      </x:c>
      <x:c r="B185" s="48" t="n">
        <x:v>231.45</x:v>
      </x:c>
      <x:c r="C185" s="48" t="n">
        <x:v>214.09</x:v>
      </x:c>
      <x:c r="D185" s="48" t="n">
        <x:v>260.43</x:v>
      </x:c>
      <x:c r="E185" s="48" t="n">
        <x:v>224.15</x:v>
      </x:c>
      <x:c r="F185" s="48" t="n">
        <x:v>125.97</x:v>
      </x:c>
      <x:c r="G185" s="48" t="n">
        <x:v>173.2</x:v>
      </x:c>
      <x:c r="H185" s="49" t="n">
        <x:v>478230.99</x:v>
      </x:c>
      <x:c r="I185" s="49" t="n">
        <x:v>461777.05</x:v>
      </x:c>
      <x:c r="J185" s="48" t="n">
        <x:f>IF(COUNT(B185:C185)&lt;2,"",B185-C185)</x:f>
        <x:v>17.359999999999985</x:v>
      </x:c>
      <x:c r="K185" s="48" t="n">
        <x:f>IF(COUNT(D185,F185)&lt;2,"",D185-F185)</x:f>
        <x:v>134.46</x:v>
      </x:c>
      <x:c r="L185" s="48" t="n">
        <x:f>IF(COUNT(E185,G185)&lt;2,"",E185-G185)</x:f>
        <x:v>50.95000000000002</x:v>
      </x:c>
      <x:c r="M185" s="31" t="str">
        <x:v>网站结构化接口</x:v>
      </x:c>
      <x:c r="N185" s="36" t="d">
        <x:v>2026-10-28T14:16:22.777Z</x:v>
      </x:c>
    </x:row>
    <x:row r="186">
      <x:c r="A186" s="36" t="d">
        <x:v>2025-07-04T00:00:00.000Z</x:v>
      </x:c>
      <x:c r="B186" s="48" t="n">
        <x:v>250.75</x:v>
      </x:c>
      <x:c r="C186" s="48" t="n">
        <x:v>159.32</x:v>
      </x:c>
      <x:c r="D186" s="48" t="n">
        <x:v>264.38</x:v>
      </x:c>
      <x:c r="E186" s="48" t="n">
        <x:v>165.97</x:v>
      </x:c>
      <x:c r="F186" s="48" t="n">
        <x:v>197.12</x:v>
      </x:c>
      <x:c r="G186" s="48" t="n">
        <x:v>139.75</x:v>
      </x:c>
      <x:c r="H186" s="49" t="n">
        <x:v>536231.67</x:v>
      </x:c>
      <x:c r="I186" s="49" t="n">
        <x:v>456352.74</x:v>
      </x:c>
      <x:c r="J186" s="48" t="n">
        <x:f>IF(COUNT(B186:C186)&lt;2,"",B186-C186)</x:f>
        <x:v>91.43</x:v>
      </x:c>
      <x:c r="K186" s="48" t="n">
        <x:f>IF(COUNT(D186,F186)&lt;2,"",D186-F186)</x:f>
        <x:v>67.25999999999999</x:v>
      </x:c>
      <x:c r="L186" s="48" t="n">
        <x:f>IF(COUNT(E186,G186)&lt;2,"",E186-G186)</x:f>
        <x:v>26.22</x:v>
      </x:c>
      <x:c r="M186" s="31" t="str">
        <x:v>网站结构化接口</x:v>
      </x:c>
      <x:c r="N186" s="36" t="d">
        <x:v>2026-10-28T14:16:22.777Z</x:v>
      </x:c>
    </x:row>
    <x:row r="187">
      <x:c r="A187" s="36" t="d">
        <x:v>2025-07-05T00:00:00.000Z</x:v>
      </x:c>
      <x:c r="B187" s="48" t="n">
        <x:v>157.03</x:v>
      </x:c>
      <x:c r="C187" s="48" t="n">
        <x:v>164.13</x:v>
      </x:c>
      <x:c r="D187" s="48" t="n">
        <x:v>173.13</x:v>
      </x:c>
      <x:c r="E187" s="48" t="n">
        <x:v>182.58</x:v>
      </x:c>
      <x:c r="F187" s="48" t="n">
        <x:v>78.42</x:v>
      </x:c>
      <x:c r="G187" s="48" t="n">
        <x:v>82.09</x:v>
      </x:c>
      <x:c r="H187" s="49" t="n">
        <x:v>445036.34</x:v>
      </x:c>
      <x:c r="I187" s="49" t="n">
        <x:v>440288.19</x:v>
      </x:c>
      <x:c r="J187" s="48" t="n">
        <x:f>IF(COUNT(B187:C187)&lt;2,"",B187-C187)</x:f>
        <x:v>-7.099999999999994</x:v>
      </x:c>
      <x:c r="K187" s="48" t="n">
        <x:f>IF(COUNT(D187,F187)&lt;2,"",D187-F187)</x:f>
        <x:v>94.71</x:v>
      </x:c>
      <x:c r="L187" s="48" t="n">
        <x:f>IF(COUNT(E187,G187)&lt;2,"",E187-G187)</x:f>
        <x:v>100.49000000000001</x:v>
      </x:c>
      <x:c r="M187" s="31" t="str">
        <x:v>网站结构化接口</x:v>
      </x:c>
      <x:c r="N187" s="36" t="d">
        <x:v>2026-10-28T14:16:22.777Z</x:v>
      </x:c>
    </x:row>
    <x:row r="188">
      <x:c r="A188" s="36" t="d">
        <x:v>2025-07-06T00:00:00.000Z</x:v>
      </x:c>
      <x:c r="B188" s="48" t="n">
        <x:v>213.47</x:v>
      </x:c>
      <x:c r="C188" s="48" t="n">
        <x:v>214.43</x:v>
      </x:c>
      <x:c r="D188" s="48" t="n">
        <x:v>230.65</x:v>
      </x:c>
      <x:c r="E188" s="48" t="n">
        <x:v>226.74</x:v>
      </x:c>
      <x:c r="F188" s="48" t="n">
        <x:v>109.28</x:v>
      </x:c>
      <x:c r="G188" s="48" t="n">
        <x:v>135.23</x:v>
      </x:c>
      <x:c r="H188" s="49" t="n">
        <x:v>458608.75</x:v>
      </x:c>
      <x:c r="I188" s="49" t="n">
        <x:v>460816.27</x:v>
      </x:c>
      <x:c r="J188" s="48" t="n">
        <x:f>IF(COUNT(B188:C188)&lt;2,"",B188-C188)</x:f>
        <x:v>-0.960000000000008</x:v>
      </x:c>
      <x:c r="K188" s="48" t="n">
        <x:f>IF(COUNT(D188,F188)&lt;2,"",D188-F188)</x:f>
        <x:v>121.37</x:v>
      </x:c>
      <x:c r="L188" s="48" t="n">
        <x:f>IF(COUNT(E188,G188)&lt;2,"",E188-G188)</x:f>
        <x:v>91.51000000000002</x:v>
      </x:c>
      <x:c r="M188" s="31" t="str">
        <x:v>网站结构化接口</x:v>
      </x:c>
      <x:c r="N188" s="36" t="d">
        <x:v>2026-10-28T14:16:22.777Z</x:v>
      </x:c>
    </x:row>
    <x:row r="189">
      <x:c r="A189" s="36" t="d">
        <x:v>2025-07-07T00:00:00.000Z</x:v>
      </x:c>
      <x:c r="B189" s="48" t="n">
        <x:v>167.96</x:v>
      </x:c>
      <x:c r="C189" s="48" t="n">
        <x:v>148.79</x:v>
      </x:c>
      <x:c r="D189" s="48" t="n">
        <x:v>184.85</x:v>
      </x:c>
      <x:c r="E189" s="48" t="n">
        <x:v>158.38</x:v>
      </x:c>
      <x:c r="F189" s="48" t="n">
        <x:v>106.5</x:v>
      </x:c>
      <x:c r="G189" s="48" t="n">
        <x:v>115.65</x:v>
      </x:c>
      <x:c r="H189" s="49" t="n">
        <x:v>457449.33</x:v>
      </x:c>
      <x:c r="I189" s="49" t="n">
        <x:v>446867.82</x:v>
      </x:c>
      <x:c r="J189" s="48" t="n">
        <x:f>IF(COUNT(B189:C189)&lt;2,"",B189-C189)</x:f>
        <x:v>19.170000000000016</x:v>
      </x:c>
      <x:c r="K189" s="48" t="n">
        <x:f>IF(COUNT(D189,F189)&lt;2,"",D189-F189)</x:f>
        <x:v>78.35</x:v>
      </x:c>
      <x:c r="L189" s="48" t="n">
        <x:f>IF(COUNT(E189,G189)&lt;2,"",E189-G189)</x:f>
        <x:v>42.72999999999999</x:v>
      </x:c>
      <x:c r="M189" s="31" t="str">
        <x:v>网站结构化接口</x:v>
      </x:c>
      <x:c r="N189" s="36" t="d">
        <x:v>2026-10-28T14:16:22.777Z</x:v>
      </x:c>
    </x:row>
    <x:row r="190">
      <x:c r="A190" s="36" t="d">
        <x:v>2025-07-08T00:00:00.000Z</x:v>
      </x:c>
      <x:c r="B190" s="48" t="n">
        <x:v>160.9</x:v>
      </x:c>
      <x:c r="C190" s="48" t="n">
        <x:v>140.04</x:v>
      </x:c>
      <x:c r="D190" s="48" t="n">
        <x:v>181.66</x:v>
      </x:c>
      <x:c r="E190" s="48" t="n">
        <x:v>148.6</x:v>
      </x:c>
      <x:c r="F190" s="48" t="n">
        <x:v>101</x:v>
      </x:c>
      <x:c r="G190" s="48" t="n">
        <x:v>117.97</x:v>
      </x:c>
      <x:c r="H190" s="49" t="n">
        <x:v>448926.49</x:v>
      </x:c>
      <x:c r="I190" s="49" t="n">
        <x:v>431057.45</x:v>
      </x:c>
      <x:c r="J190" s="48" t="n">
        <x:f>IF(COUNT(B190:C190)&lt;2,"",B190-C190)</x:f>
        <x:v>20.860000000000014</x:v>
      </x:c>
      <x:c r="K190" s="48" t="n">
        <x:f>IF(COUNT(D190,F190)&lt;2,"",D190-F190)</x:f>
        <x:v>80.66</x:v>
      </x:c>
      <x:c r="L190" s="48" t="n">
        <x:f>IF(COUNT(E190,G190)&lt;2,"",E190-G190)</x:f>
        <x:v>30.629999999999995</x:v>
      </x:c>
      <x:c r="M190" s="31" t="str">
        <x:v>网站结构化接口</x:v>
      </x:c>
      <x:c r="N190" s="36" t="d">
        <x:v>2026-10-28T14:16:22.777Z</x:v>
      </x:c>
    </x:row>
    <x:row r="191">
      <x:c r="A191" s="36" t="d">
        <x:v>2025-07-09T00:00:00.000Z</x:v>
      </x:c>
      <x:c r="B191" s="48" t="n">
        <x:v>141.06</x:v>
      </x:c>
      <x:c r="C191" s="48" t="n">
        <x:v>169.29</x:v>
      </x:c>
      <x:c r="D191" s="48" t="n">
        <x:v>151.83</x:v>
      </x:c>
      <x:c r="E191" s="48" t="n">
        <x:v>179.02</x:v>
      </x:c>
      <x:c r="F191" s="48" t="n">
        <x:v>104.53</x:v>
      </x:c>
      <x:c r="G191" s="48" t="n">
        <x:v>129.76</x:v>
      </x:c>
      <x:c r="H191" s="49" t="n">
        <x:v>435697.13</x:v>
      </x:c>
      <x:c r="I191" s="49" t="n">
        <x:v>439632.59</x:v>
      </x:c>
      <x:c r="J191" s="48" t="n">
        <x:f>IF(COUNT(B191:C191)&lt;2,"",B191-C191)</x:f>
        <x:v>-28.22999999999999</x:v>
      </x:c>
      <x:c r="K191" s="48" t="n">
        <x:f>IF(COUNT(D191,F191)&lt;2,"",D191-F191)</x:f>
        <x:v>47.30000000000001</x:v>
      </x:c>
      <x:c r="L191" s="48" t="n">
        <x:f>IF(COUNT(E191,G191)&lt;2,"",E191-G191)</x:f>
        <x:v>49.26000000000002</x:v>
      </x:c>
      <x:c r="M191" s="31" t="str">
        <x:v>网站结构化接口</x:v>
      </x:c>
      <x:c r="N191" s="36" t="d">
        <x:v>2026-10-28T14:16:22.777Z</x:v>
      </x:c>
    </x:row>
    <x:row r="192">
      <x:c r="A192" s="36" t="d">
        <x:v>2025-07-10T00:00:00.000Z</x:v>
      </x:c>
      <x:c r="B192" s="48" t="n">
        <x:v>125.46</x:v>
      </x:c>
      <x:c r="C192" s="48" t="n">
        <x:v>122.25</x:v>
      </x:c>
      <x:c r="D192" s="48" t="n">
        <x:v>144.98</x:v>
      </x:c>
      <x:c r="E192" s="48" t="n">
        <x:v>142.74</x:v>
      </x:c>
      <x:c r="F192" s="48" t="n">
        <x:v>79.08</x:v>
      </x:c>
      <x:c r="G192" s="48" t="n">
        <x:v>76.76</x:v>
      </x:c>
      <x:c r="H192" s="49" t="n">
        <x:v>435329.5</x:v>
      </x:c>
      <x:c r="I192" s="49" t="n">
        <x:v>440522.46</x:v>
      </x:c>
      <x:c r="J192" s="48" t="n">
        <x:f>IF(COUNT(B192:C192)&lt;2,"",B192-C192)</x:f>
        <x:v>3.2099999999999937</x:v>
      </x:c>
      <x:c r="K192" s="48" t="n">
        <x:f>IF(COUNT(D192,F192)&lt;2,"",D192-F192)</x:f>
        <x:v>65.89999999999999</x:v>
      </x:c>
      <x:c r="L192" s="48" t="n">
        <x:f>IF(COUNT(E192,G192)&lt;2,"",E192-G192)</x:f>
        <x:v>65.98</x:v>
      </x:c>
      <x:c r="M192" s="31" t="str">
        <x:v>网站结构化接口</x:v>
      </x:c>
      <x:c r="N192" s="36" t="d">
        <x:v>2026-10-28T14:16:22.777Z</x:v>
      </x:c>
    </x:row>
    <x:row r="193">
      <x:c r="A193" s="36" t="d">
        <x:v>2025-07-11T00:00:00.000Z</x:v>
      </x:c>
      <x:c r="B193" s="48" t="n">
        <x:v>156.4</x:v>
      </x:c>
      <x:c r="C193" s="48" t="n">
        <x:v>154.97</x:v>
      </x:c>
      <x:c r="D193" s="48" t="n">
        <x:v>192.04</x:v>
      </x:c>
      <x:c r="E193" s="48" t="n">
        <x:v>185.97</x:v>
      </x:c>
      <x:c r="F193" s="48" t="n">
        <x:v>79.93</x:v>
      </x:c>
      <x:c r="G193" s="48" t="n">
        <x:v>89.71</x:v>
      </x:c>
      <x:c r="H193" s="49" t="n">
        <x:v>451094.88</x:v>
      </x:c>
      <x:c r="I193" s="49" t="n">
        <x:v>466001</x:v>
      </x:c>
      <x:c r="J193" s="48" t="n">
        <x:f>IF(COUNT(B193:C193)&lt;2,"",B193-C193)</x:f>
        <x:v>1.4300000000000068</x:v>
      </x:c>
      <x:c r="K193" s="48" t="n">
        <x:f>IF(COUNT(D193,F193)&lt;2,"",D193-F193)</x:f>
        <x:v>112.10999999999999</x:v>
      </x:c>
      <x:c r="L193" s="48" t="n">
        <x:f>IF(COUNT(E193,G193)&lt;2,"",E193-G193)</x:f>
        <x:v>96.26</x:v>
      </x:c>
      <x:c r="M193" s="31" t="str">
        <x:v>网站结构化接口</x:v>
      </x:c>
      <x:c r="N193" s="36" t="d">
        <x:v>2026-10-28T14:16:22.777Z</x:v>
      </x:c>
    </x:row>
    <x:row r="194">
      <x:c r="A194" s="36" t="d">
        <x:v>2025-07-12T00:00:00.000Z</x:v>
      </x:c>
      <x:c r="B194" s="48" t="n">
        <x:v>189.42</x:v>
      </x:c>
      <x:c r="C194" s="48" t="n">
        <x:v>202.09</x:v>
      </x:c>
      <x:c r="D194" s="48" t="n">
        <x:v>229.78</x:v>
      </x:c>
      <x:c r="E194" s="48" t="n">
        <x:v>239.34</x:v>
      </x:c>
      <x:c r="F194" s="48" t="n">
        <x:v>91.98</x:v>
      </x:c>
      <x:c r="G194" s="48" t="n">
        <x:v>106.99</x:v>
      </x:c>
      <x:c r="H194" s="49" t="n">
        <x:v>479340.45</x:v>
      </x:c>
      <x:c r="I194" s="49" t="n">
        <x:v>479009.45</x:v>
      </x:c>
      <x:c r="J194" s="48" t="n">
        <x:f>IF(COUNT(B194:C194)&lt;2,"",B194-C194)</x:f>
        <x:v>-12.670000000000016</x:v>
      </x:c>
      <x:c r="K194" s="48" t="n">
        <x:f>IF(COUNT(D194,F194)&lt;2,"",D194-F194)</x:f>
        <x:v>137.8</x:v>
      </x:c>
      <x:c r="L194" s="48" t="n">
        <x:f>IF(COUNT(E194,G194)&lt;2,"",E194-G194)</x:f>
        <x:v>132.35000000000002</x:v>
      </x:c>
      <x:c r="M194" s="31" t="str">
        <x:v>网站结构化接口</x:v>
      </x:c>
      <x:c r="N194" s="36" t="d">
        <x:v>2026-10-28T14:16:22.777Z</x:v>
      </x:c>
    </x:row>
    <x:row r="195">
      <x:c r="A195" s="36" t="d">
        <x:v>2025-07-13T00:00:00.000Z</x:v>
      </x:c>
      <x:c r="B195" s="48" t="n">
        <x:v>250.53</x:v>
      </x:c>
      <x:c r="C195" s="48" t="n">
        <x:v>256.94</x:v>
      </x:c>
      <x:c r="D195" s="48" t="n">
        <x:v>284.7</x:v>
      </x:c>
      <x:c r="E195" s="48" t="n">
        <x:v>292.45</x:v>
      </x:c>
      <x:c r="F195" s="48" t="n">
        <x:v>130.16</x:v>
      </x:c>
      <x:c r="G195" s="48" t="n">
        <x:v>134.02</x:v>
      </x:c>
      <x:c r="H195" s="49" t="n">
        <x:v>487060.34</x:v>
      </x:c>
      <x:c r="I195" s="49" t="n">
        <x:v>505318.94</x:v>
      </x:c>
      <x:c r="J195" s="48" t="n">
        <x:f>IF(COUNT(B195:C195)&lt;2,"",B195-C195)</x:f>
        <x:v>-6.409999999999997</x:v>
      </x:c>
      <x:c r="K195" s="48" t="n">
        <x:f>IF(COUNT(D195,F195)&lt;2,"",D195-F195)</x:f>
        <x:v>154.54</x:v>
      </x:c>
      <x:c r="L195" s="48" t="n">
        <x:f>IF(COUNT(E195,G195)&lt;2,"",E195-G195)</x:f>
        <x:v>158.42999999999998</x:v>
      </x:c>
      <x:c r="M195" s="31" t="str">
        <x:v>网站结构化接口</x:v>
      </x:c>
      <x:c r="N195" s="36" t="d">
        <x:v>2026-10-28T14:16:22.777Z</x:v>
      </x:c>
    </x:row>
    <x:row r="196">
      <x:c r="A196" s="36" t="d">
        <x:v>2025-07-14T00:00:00.000Z</x:v>
      </x:c>
      <x:c r="B196" s="48" t="n">
        <x:v>214.71</x:v>
      </x:c>
      <x:c r="C196" s="48" t="n">
        <x:v>234.4</x:v>
      </x:c>
      <x:c r="D196" s="48" t="n">
        <x:v>244.99</x:v>
      </x:c>
      <x:c r="E196" s="48" t="n">
        <x:v>271.42</x:v>
      </x:c>
      <x:c r="F196" s="48" t="n">
        <x:v>118.63</x:v>
      </x:c>
      <x:c r="G196" s="48" t="n">
        <x:v>110.68</x:v>
      </x:c>
      <x:c r="H196" s="49" t="n">
        <x:v>538702</x:v>
      </x:c>
      <x:c r="I196" s="49" t="n">
        <x:v>562728.76</x:v>
      </x:c>
      <x:c r="J196" s="48" t="n">
        <x:f>IF(COUNT(B196:C196)&lt;2,"",B196-C196)</x:f>
        <x:v>-19.689999999999998</x:v>
      </x:c>
      <x:c r="K196" s="48" t="n">
        <x:f>IF(COUNT(D196,F196)&lt;2,"",D196-F196)</x:f>
        <x:v>126.36000000000001</x:v>
      </x:c>
      <x:c r="L196" s="48" t="n">
        <x:f>IF(COUNT(E196,G196)&lt;2,"",E196-G196)</x:f>
        <x:v>160.74</x:v>
      </x:c>
      <x:c r="M196" s="31" t="str">
        <x:v>网站结构化接口</x:v>
      </x:c>
      <x:c r="N196" s="36" t="d">
        <x:v>2026-10-28T14:16:22.777Z</x:v>
      </x:c>
    </x:row>
    <x:row r="197">
      <x:c r="A197" s="36" t="d">
        <x:v>2025-07-15T00:00:00.000Z</x:v>
      </x:c>
      <x:c r="B197" s="48" t="n">
        <x:v>250.79</x:v>
      </x:c>
      <x:c r="C197" s="48" t="n">
        <x:v>282.6</x:v>
      </x:c>
      <x:c r="D197" s="48" t="n">
        <x:v>288.3</x:v>
      </x:c>
      <x:c r="E197" s="48" t="n">
        <x:v>311.61</x:v>
      </x:c>
      <x:c r="F197" s="48" t="n">
        <x:v>114.98</x:v>
      </x:c>
      <x:c r="G197" s="48" t="n">
        <x:v>150.82</x:v>
      </x:c>
      <x:c r="H197" s="49" t="n">
        <x:v>594807.72</x:v>
      </x:c>
      <x:c r="I197" s="49" t="n">
        <x:v>631933.7</x:v>
      </x:c>
      <x:c r="J197" s="48" t="n">
        <x:f>IF(COUNT(B197:C197)&lt;2,"",B197-C197)</x:f>
        <x:v>-31.81000000000003</x:v>
      </x:c>
      <x:c r="K197" s="48" t="n">
        <x:f>IF(COUNT(D197,F197)&lt;2,"",D197-F197)</x:f>
        <x:v>173.32</x:v>
      </x:c>
      <x:c r="L197" s="48" t="n">
        <x:f>IF(COUNT(E197,G197)&lt;2,"",E197-G197)</x:f>
        <x:v>160.79000000000002</x:v>
      </x:c>
      <x:c r="M197" s="31" t="str">
        <x:v>网站结构化接口</x:v>
      </x:c>
      <x:c r="N197" s="36" t="d">
        <x:v>2026-10-28T14:16:22.777Z</x:v>
      </x:c>
    </x:row>
    <x:row r="198">
      <x:c r="A198" s="36" t="d">
        <x:v>2025-07-16T00:00:00.000Z</x:v>
      </x:c>
      <x:c r="B198" s="48" t="n">
        <x:v>292.56</x:v>
      </x:c>
      <x:c r="C198" s="48" t="n">
        <x:v>338.68</x:v>
      </x:c>
      <x:c r="D198" s="48" t="n">
        <x:v>323.31</x:v>
      </x:c>
      <x:c r="E198" s="48" t="n">
        <x:v>359.03</x:v>
      </x:c>
      <x:c r="F198" s="48" t="n">
        <x:v>148.57</x:v>
      </x:c>
      <x:c r="G198" s="48" t="n">
        <x:v>219.94</x:v>
      </x:c>
      <x:c r="H198" s="49" t="n">
        <x:v>619770.14</x:v>
      </x:c>
      <x:c r="I198" s="49" t="n">
        <x:v>657004.85</x:v>
      </x:c>
      <x:c r="J198" s="48" t="n">
        <x:f>IF(COUNT(B198:C198)&lt;2,"",B198-C198)</x:f>
        <x:v>-46.120000000000005</x:v>
      </x:c>
      <x:c r="K198" s="48" t="n">
        <x:f>IF(COUNT(D198,F198)&lt;2,"",D198-F198)</x:f>
        <x:v>174.74</x:v>
      </x:c>
      <x:c r="L198" s="48" t="n">
        <x:f>IF(COUNT(E198,G198)&lt;2,"",E198-G198)</x:f>
        <x:v>139.08999999999997</x:v>
      </x:c>
      <x:c r="M198" s="31" t="str">
        <x:v>网站结构化接口</x:v>
      </x:c>
      <x:c r="N198" s="36" t="d">
        <x:v>2026-10-28T14:16:22.777Z</x:v>
      </x:c>
    </x:row>
    <x:row r="199">
      <x:c r="A199" s="36" t="d">
        <x:v>2025-07-17T00:00:00.000Z</x:v>
      </x:c>
      <x:c r="B199" s="48" t="n">
        <x:v>315.01</x:v>
      </x:c>
      <x:c r="C199" s="48" t="n">
        <x:v>292.05</x:v>
      </x:c>
      <x:c r="D199" s="48" t="n">
        <x:v>345.85</x:v>
      </x:c>
      <x:c r="E199" s="48" t="n">
        <x:v>313.12</x:v>
      </x:c>
      <x:c r="F199" s="48" t="n">
        <x:v>151.65</x:v>
      </x:c>
      <x:c r="G199" s="48" t="n">
        <x:v>185.57</x:v>
      </x:c>
      <x:c r="H199" s="49" t="n">
        <x:v>628248.33</x:v>
      </x:c>
      <x:c r="I199" s="49" t="n">
        <x:v>635784.91</x:v>
      </x:c>
      <x:c r="J199" s="48" t="n">
        <x:f>IF(COUNT(B199:C199)&lt;2,"",B199-C199)</x:f>
        <x:v>22.95999999999998</x:v>
      </x:c>
      <x:c r="K199" s="48" t="n">
        <x:f>IF(COUNT(D199,F199)&lt;2,"",D199-F199)</x:f>
        <x:v>194.20000000000002</x:v>
      </x:c>
      <x:c r="L199" s="48" t="n">
        <x:f>IF(COUNT(E199,G199)&lt;2,"",E199-G199)</x:f>
        <x:v>127.55000000000001</x:v>
      </x:c>
      <x:c r="M199" s="31" t="str">
        <x:v>网站结构化接口</x:v>
      </x:c>
      <x:c r="N199" s="36" t="d">
        <x:v>2026-10-28T14:16:22.777Z</x:v>
      </x:c>
    </x:row>
    <x:row r="200">
      <x:c r="A200" s="36" t="d">
        <x:v>2025-07-18T00:00:00.000Z</x:v>
      </x:c>
      <x:c r="B200" s="48" t="n">
        <x:v>248.2</x:v>
      </x:c>
      <x:c r="C200" s="48" t="n">
        <x:v>259.09</x:v>
      </x:c>
      <x:c r="D200" s="48" t="n">
        <x:v>286.97</x:v>
      </x:c>
      <x:c r="E200" s="48" t="n">
        <x:v>291.32</x:v>
      </x:c>
      <x:c r="F200" s="48" t="n">
        <x:v>109.16</x:v>
      </x:c>
      <x:c r="G200" s="48" t="n">
        <x:v>143.27</x:v>
      </x:c>
      <x:c r="H200" s="49" t="n">
        <x:v>599399.96</x:v>
      </x:c>
      <x:c r="I200" s="49" t="n">
        <x:v>618490.25</x:v>
      </x:c>
      <x:c r="J200" s="48" t="n">
        <x:f>IF(COUNT(B200:C200)&lt;2,"",B200-C200)</x:f>
        <x:v>-10.889999999999986</x:v>
      </x:c>
      <x:c r="K200" s="48" t="n">
        <x:f>IF(COUNT(D200,F200)&lt;2,"",D200-F200)</x:f>
        <x:v>177.81000000000003</x:v>
      </x:c>
      <x:c r="L200" s="48" t="n">
        <x:f>IF(COUNT(E200,G200)&lt;2,"",E200-G200)</x:f>
        <x:v>148.04999999999998</x:v>
      </x:c>
      <x:c r="M200" s="31" t="str">
        <x:v>网站结构化接口</x:v>
      </x:c>
      <x:c r="N200" s="36" t="d">
        <x:v>2026-10-28T14:16:22.777Z</x:v>
      </x:c>
    </x:row>
    <x:row r="201">
      <x:c r="A201" s="36" t="d">
        <x:v>2025-07-19T00:00:00.000Z</x:v>
      </x:c>
      <x:c r="B201" s="48" t="n">
        <x:v>328.88</x:v>
      </x:c>
      <x:c r="C201" s="48" t="n">
        <x:v>286.7</x:v>
      </x:c>
      <x:c r="D201" s="48" t="n">
        <x:v>348.71</x:v>
      </x:c>
      <x:c r="E201" s="48" t="n">
        <x:v>299.49</x:v>
      </x:c>
      <x:c r="F201" s="48" t="n">
        <x:v>227.69</x:v>
      </x:c>
      <x:c r="G201" s="48" t="n">
        <x:v>219.48</x:v>
      </x:c>
      <x:c r="H201" s="49" t="n">
        <x:v>645845.35</x:v>
      </x:c>
      <x:c r="I201" s="49" t="n">
        <x:v>632546.04</x:v>
      </x:c>
      <x:c r="J201" s="48" t="n">
        <x:f>IF(COUNT(B201:C201)&lt;2,"",B201-C201)</x:f>
        <x:v>42.18000000000001</x:v>
      </x:c>
      <x:c r="K201" s="48" t="n">
        <x:f>IF(COUNT(D201,F201)&lt;2,"",D201-F201)</x:f>
        <x:v>121.01999999999998</x:v>
      </x:c>
      <x:c r="L201" s="48" t="n">
        <x:f>IF(COUNT(E201,G201)&lt;2,"",E201-G201)</x:f>
        <x:v>80.01000000000002</x:v>
      </x:c>
      <x:c r="M201" s="31" t="str">
        <x:v>网站结构化接口</x:v>
      </x:c>
      <x:c r="N201" s="36" t="d">
        <x:v>2026-10-28T14:16:22.777Z</x:v>
      </x:c>
    </x:row>
    <x:row r="202">
      <x:c r="A202" s="36" t="d">
        <x:v>2025-07-20T00:00:00.000Z</x:v>
      </x:c>
      <x:c r="B202" s="48" t="n">
        <x:v>256.64</x:v>
      </x:c>
      <x:c r="C202" s="48" t="n">
        <x:v>254.03</x:v>
      </x:c>
      <x:c r="D202" s="48" t="n">
        <x:v>281.74</x:v>
      </x:c>
      <x:c r="E202" s="48" t="n">
        <x:v>272.98</x:v>
      </x:c>
      <x:c r="F202" s="48" t="n">
        <x:v>127.48</x:v>
      </x:c>
      <x:c r="G202" s="48" t="n">
        <x:v>141.25</x:v>
      </x:c>
      <x:c r="H202" s="49" t="n">
        <x:v>553162.99</x:v>
      </x:c>
      <x:c r="I202" s="49" t="n">
        <x:v>530408.31</x:v>
      </x:c>
      <x:c r="J202" s="48" t="n">
        <x:f>IF(COUNT(B202:C202)&lt;2,"",B202-C202)</x:f>
        <x:v>2.609999999999985</x:v>
      </x:c>
      <x:c r="K202" s="48" t="n">
        <x:f>IF(COUNT(D202,F202)&lt;2,"",D202-F202)</x:f>
        <x:v>154.26</x:v>
      </x:c>
      <x:c r="L202" s="48" t="n">
        <x:f>IF(COUNT(E202,G202)&lt;2,"",E202-G202)</x:f>
        <x:v>131.73000000000002</x:v>
      </x:c>
      <x:c r="M202" s="31" t="str">
        <x:v>网站结构化接口</x:v>
      </x:c>
      <x:c r="N202" s="36" t="d">
        <x:v>2026-10-28T14:16:22.777Z</x:v>
      </x:c>
    </x:row>
    <x:row r="203">
      <x:c r="A203" s="36" t="d">
        <x:v>2025-07-21T00:00:00.000Z</x:v>
      </x:c>
      <x:c r="B203" s="48" t="n">
        <x:v>210</x:v>
      </x:c>
      <x:c r="C203" s="48" t="n">
        <x:v>273.16</x:v>
      </x:c>
      <x:c r="D203" s="48" t="n">
        <x:v>233.25</x:v>
      </x:c>
      <x:c r="E203" s="48" t="n">
        <x:v>290.76</x:v>
      </x:c>
      <x:c r="F203" s="48" t="n">
        <x:v>109.44</x:v>
      </x:c>
      <x:c r="G203" s="48" t="n">
        <x:v>175.44</x:v>
      </x:c>
      <x:c r="H203" s="49" t="n">
        <x:v>497477.01</x:v>
      </x:c>
      <x:c r="I203" s="49" t="n">
        <x:v>532299.43</x:v>
      </x:c>
      <x:c r="J203" s="48" t="n">
        <x:f>IF(COUNT(B203:C203)&lt;2,"",B203-C203)</x:f>
        <x:v>-63.160000000000025</x:v>
      </x:c>
      <x:c r="K203" s="48" t="n">
        <x:f>IF(COUNT(D203,F203)&lt;2,"",D203-F203)</x:f>
        <x:v>123.81</x:v>
      </x:c>
      <x:c r="L203" s="48" t="n">
        <x:f>IF(COUNT(E203,G203)&lt;2,"",E203-G203)</x:f>
        <x:v>115.32</x:v>
      </x:c>
      <x:c r="M203" s="31" t="str">
        <x:v>网站结构化接口</x:v>
      </x:c>
      <x:c r="N203" s="36" t="d">
        <x:v>2026-10-28T14:16:22.777Z</x:v>
      </x:c>
    </x:row>
    <x:row r="204">
      <x:c r="A204" s="36" t="d">
        <x:v>2025-07-22T00:00:00.000Z</x:v>
      </x:c>
      <x:c r="B204" s="48" t="n">
        <x:v>220.29</x:v>
      </x:c>
      <x:c r="C204" s="48" t="n">
        <x:v>187.43</x:v>
      </x:c>
      <x:c r="D204" s="48" t="n">
        <x:v>254.9</x:v>
      </x:c>
      <x:c r="E204" s="48" t="n">
        <x:v>206.74</x:v>
      </x:c>
      <x:c r="F204" s="48" t="n">
        <x:v>121.81</x:v>
      </x:c>
      <x:c r="G204" s="48" t="n">
        <x:v>132.48</x:v>
      </x:c>
      <x:c r="H204" s="49" t="n">
        <x:v>533845.68</x:v>
      </x:c>
      <x:c r="I204" s="49" t="n">
        <x:v>527452.72</x:v>
      </x:c>
      <x:c r="J204" s="48" t="n">
        <x:f>IF(COUNT(B204:C204)&lt;2,"",B204-C204)</x:f>
        <x:v>32.859999999999985</x:v>
      </x:c>
      <x:c r="K204" s="48" t="n">
        <x:f>IF(COUNT(D204,F204)&lt;2,"",D204-F204)</x:f>
        <x:v>133.09</x:v>
      </x:c>
      <x:c r="L204" s="48" t="n">
        <x:f>IF(COUNT(E204,G204)&lt;2,"",E204-G204)</x:f>
        <x:v>74.26000000000002</x:v>
      </x:c>
      <x:c r="M204" s="31" t="str">
        <x:v>网站结构化接口</x:v>
      </x:c>
      <x:c r="N204" s="36" t="d">
        <x:v>2026-10-28T14:16:22.777Z</x:v>
      </x:c>
    </x:row>
    <x:row r="205">
      <x:c r="A205" s="36" t="d">
        <x:v>2025-07-23T00:00:00.000Z</x:v>
      </x:c>
      <x:c r="B205" s="48" t="n">
        <x:v>267.7</x:v>
      </x:c>
      <x:c r="C205" s="48" t="n">
        <x:v>310.28</x:v>
      </x:c>
      <x:c r="D205" s="48" t="n">
        <x:v>314.02</x:v>
      </x:c>
      <x:c r="E205" s="48" t="n">
        <x:v>351.92</x:v>
      </x:c>
      <x:c r="F205" s="48" t="n">
        <x:v>132.08</x:v>
      </x:c>
      <x:c r="G205" s="48" t="n">
        <x:v>184.3</x:v>
      </x:c>
      <x:c r="H205" s="49" t="n">
        <x:v>533822.14</x:v>
      </x:c>
      <x:c r="I205" s="49" t="n">
        <x:v>553627.07</x:v>
      </x:c>
      <x:c r="J205" s="48" t="n">
        <x:f>IF(COUNT(B205:C205)&lt;2,"",B205-C205)</x:f>
        <x:v>-42.579999999999984</x:v>
      </x:c>
      <x:c r="K205" s="48" t="n">
        <x:f>IF(COUNT(D205,F205)&lt;2,"",D205-F205)</x:f>
        <x:v>181.93999999999997</x:v>
      </x:c>
      <x:c r="L205" s="48" t="n">
        <x:f>IF(COUNT(E205,G205)&lt;2,"",E205-G205)</x:f>
        <x:v>167.62</x:v>
      </x:c>
      <x:c r="M205" s="31" t="str">
        <x:v>网站结构化接口</x:v>
      </x:c>
      <x:c r="N205" s="36" t="d">
        <x:v>2026-10-28T14:16:22.777Z</x:v>
      </x:c>
    </x:row>
    <x:row r="206">
      <x:c r="A206" s="36" t="d">
        <x:v>2025-07-24T00:00:00.000Z</x:v>
      </x:c>
      <x:c r="B206" s="48" t="n">
        <x:v>343.68</x:v>
      </x:c>
      <x:c r="C206" s="48" t="n">
        <x:v>372.42</x:v>
      </x:c>
      <x:c r="D206" s="48" t="n">
        <x:v>368.54</x:v>
      </x:c>
      <x:c r="E206" s="48" t="n">
        <x:v>393.42</x:v>
      </x:c>
      <x:c r="F206" s="48" t="n">
        <x:v>249.9</x:v>
      </x:c>
      <x:c r="G206" s="48" t="n">
        <x:v>282.16</x:v>
      </x:c>
      <x:c r="H206" s="49" t="n">
        <x:v>588445.96</x:v>
      </x:c>
      <x:c r="I206" s="49" t="n">
        <x:v>630018.94</x:v>
      </x:c>
      <x:c r="J206" s="48" t="n">
        <x:f>IF(COUNT(B206:C206)&lt;2,"",B206-C206)</x:f>
        <x:v>-28.74000000000001</x:v>
      </x:c>
      <x:c r="K206" s="48" t="n">
        <x:f>IF(COUNT(D206,F206)&lt;2,"",D206-F206)</x:f>
        <x:v>118.64000000000001</x:v>
      </x:c>
      <x:c r="L206" s="48" t="n">
        <x:f>IF(COUNT(E206,G206)&lt;2,"",E206-G206)</x:f>
        <x:v>111.25999999999999</x:v>
      </x:c>
      <x:c r="M206" s="31" t="str">
        <x:v>网站结构化接口</x:v>
      </x:c>
      <x:c r="N206" s="36" t="d">
        <x:v>2026-10-28T14:16:22.777Z</x:v>
      </x:c>
    </x:row>
    <x:row r="207">
      <x:c r="A207" s="36" t="d">
        <x:v>2025-07-25T00:00:00.000Z</x:v>
      </x:c>
      <x:c r="B207" s="48" t="n">
        <x:v>305.54</x:v>
      </x:c>
      <x:c r="C207" s="48" t="n">
        <x:v>447.96</x:v>
      </x:c>
      <x:c r="D207" s="48" t="n">
        <x:v>321.54</x:v>
      </x:c>
      <x:c r="E207" s="48" t="n">
        <x:v>471.76</x:v>
      </x:c>
      <x:c r="F207" s="48" t="n">
        <x:v>230.29</x:v>
      </x:c>
      <x:c r="G207" s="48" t="n">
        <x:v>311.96</x:v>
      </x:c>
      <x:c r="H207" s="49" t="n">
        <x:v>627235.38</x:v>
      </x:c>
      <x:c r="I207" s="49" t="n">
        <x:v>644439.22</x:v>
      </x:c>
      <x:c r="J207" s="48" t="n">
        <x:f>IF(COUNT(B207:C207)&lt;2,"",B207-C207)</x:f>
        <x:v>-142.41999999999996</x:v>
      </x:c>
      <x:c r="K207" s="48" t="n">
        <x:f>IF(COUNT(D207,F207)&lt;2,"",D207-F207)</x:f>
        <x:v>91.25000000000003</x:v>
      </x:c>
      <x:c r="L207" s="48" t="n">
        <x:f>IF(COUNT(E207,G207)&lt;2,"",E207-G207)</x:f>
        <x:v>159.8</x:v>
      </x:c>
      <x:c r="M207" s="31" t="str">
        <x:v>网站结构化接口</x:v>
      </x:c>
      <x:c r="N207" s="36" t="d">
        <x:v>2026-10-28T14:16:22.777Z</x:v>
      </x:c>
    </x:row>
    <x:row r="208">
      <x:c r="A208" s="36" t="d">
        <x:v>2025-07-26T00:00:00.000Z</x:v>
      </x:c>
      <x:c r="B208" s="48" t="n">
        <x:v>303.39</x:v>
      </x:c>
      <x:c r="C208" s="48" t="n">
        <x:v>381.2</x:v>
      </x:c>
      <x:c r="D208" s="48" t="n">
        <x:v>339.1</x:v>
      </x:c>
      <x:c r="E208" s="48" t="n">
        <x:v>412.09</x:v>
      </x:c>
      <x:c r="F208" s="48" t="n">
        <x:v>150.62</x:v>
      </x:c>
      <x:c r="G208" s="48" t="n">
        <x:v>214.43</x:v>
      </x:c>
      <x:c r="H208" s="49" t="n">
        <x:v>596638.88</x:v>
      </x:c>
      <x:c r="I208" s="49" t="n">
        <x:v>625516.73</x:v>
      </x:c>
      <x:c r="J208" s="48" t="n">
        <x:f>IF(COUNT(B208:C208)&lt;2,"",B208-C208)</x:f>
        <x:v>-77.81</x:v>
      </x:c>
      <x:c r="K208" s="48" t="n">
        <x:f>IF(COUNT(D208,F208)&lt;2,"",D208-F208)</x:f>
        <x:v>188.48000000000002</x:v>
      </x:c>
      <x:c r="L208" s="48" t="n">
        <x:f>IF(COUNT(E208,G208)&lt;2,"",E208-G208)</x:f>
        <x:v>197.65999999999997</x:v>
      </x:c>
      <x:c r="M208" s="31" t="str">
        <x:v>网站结构化接口</x:v>
      </x:c>
      <x:c r="N208" s="36" t="d">
        <x:v>2026-10-28T14:16:22.777Z</x:v>
      </x:c>
    </x:row>
    <x:row r="209">
      <x:c r="A209" s="36" t="d">
        <x:v>2025-07-27T00:00:00.000Z</x:v>
      </x:c>
      <x:c r="B209" s="48" t="n">
        <x:v>330.85</x:v>
      </x:c>
      <x:c r="C209" s="48" t="n">
        <x:v>308.56</x:v>
      </x:c>
      <x:c r="D209" s="48" t="n">
        <x:v>377.59</x:v>
      </x:c>
      <x:c r="E209" s="48" t="n">
        <x:v>336.29</x:v>
      </x:c>
      <x:c r="F209" s="48" t="n">
        <x:v>137.14</x:v>
      </x:c>
      <x:c r="G209" s="48" t="n">
        <x:v>174.87</x:v>
      </x:c>
      <x:c r="H209" s="49" t="n">
        <x:v>592964.19</x:v>
      </x:c>
      <x:c r="I209" s="49" t="n">
        <x:v>597076.7</x:v>
      </x:c>
      <x:c r="J209" s="48" t="n">
        <x:f>IF(COUNT(B209:C209)&lt;2,"",B209-C209)</x:f>
        <x:v>22.29000000000002</x:v>
      </x:c>
      <x:c r="K209" s="48" t="n">
        <x:f>IF(COUNT(D209,F209)&lt;2,"",D209-F209)</x:f>
        <x:v>240.45</x:v>
      </x:c>
      <x:c r="L209" s="48" t="n">
        <x:f>IF(COUNT(E209,G209)&lt;2,"",E209-G209)</x:f>
        <x:v>161.42000000000002</x:v>
      </x:c>
      <x:c r="M209" s="31" t="str">
        <x:v>网站结构化接口</x:v>
      </x:c>
      <x:c r="N209" s="36" t="d">
        <x:v>2026-10-28T14:16:22.777Z</x:v>
      </x:c>
    </x:row>
    <x:row r="210">
      <x:c r="A210" s="36" t="d">
        <x:v>2025-07-28T00:00:00.000Z</x:v>
      </x:c>
      <x:c r="B210" s="48" t="n">
        <x:v>312.97</x:v>
      </x:c>
      <x:c r="C210" s="48" t="n">
        <x:v>275.87</x:v>
      </x:c>
      <x:c r="D210" s="48" t="n">
        <x:v>356.56</x:v>
      </x:c>
      <x:c r="E210" s="48" t="n">
        <x:v>317.97</x:v>
      </x:c>
      <x:c r="F210" s="48" t="n">
        <x:v>140.39</x:v>
      </x:c>
      <x:c r="G210" s="48" t="n">
        <x:v>115.69</x:v>
      </x:c>
      <x:c r="H210" s="49" t="n">
        <x:v>614891.36</x:v>
      </x:c>
      <x:c r="I210" s="49" t="n">
        <x:v>609309.97</x:v>
      </x:c>
      <x:c r="J210" s="48" t="n">
        <x:f>IF(COUNT(B210:C210)&lt;2,"",B210-C210)</x:f>
        <x:v>37.10000000000002</x:v>
      </x:c>
      <x:c r="K210" s="48" t="n">
        <x:f>IF(COUNT(D210,F210)&lt;2,"",D210-F210)</x:f>
        <x:v>216.17000000000002</x:v>
      </x:c>
      <x:c r="L210" s="48" t="n">
        <x:f>IF(COUNT(E210,G210)&lt;2,"",E210-G210)</x:f>
        <x:v>202.28000000000003</x:v>
      </x:c>
      <x:c r="M210" s="31" t="str">
        <x:v>网站结构化接口</x:v>
      </x:c>
      <x:c r="N210" s="36" t="d">
        <x:v>2026-10-28T14:16:22.777Z</x:v>
      </x:c>
    </x:row>
    <x:row r="211">
      <x:c r="A211" s="36" t="d">
        <x:v>2025-07-29T00:00:00.000Z</x:v>
      </x:c>
      <x:c r="B211" s="48" t="n">
        <x:v>342.43</x:v>
      </x:c>
      <x:c r="C211" s="48" t="n">
        <x:v>294.65</x:v>
      </x:c>
      <x:c r="D211" s="48" t="n">
        <x:v>376.58</x:v>
      </x:c>
      <x:c r="E211" s="48" t="n">
        <x:v>327.49</x:v>
      </x:c>
      <x:c r="F211" s="48" t="n">
        <x:v>158.4</x:v>
      </x:c>
      <x:c r="G211" s="48" t="n">
        <x:v>126.01</x:v>
      </x:c>
      <x:c r="H211" s="49" t="n">
        <x:v>632823.55</x:v>
      </x:c>
      <x:c r="I211" s="49" t="n">
        <x:v>620417.04</x:v>
      </x:c>
      <x:c r="J211" s="48" t="n">
        <x:f>IF(COUNT(B211:C211)&lt;2,"",B211-C211)</x:f>
        <x:v>47.78000000000003</x:v>
      </x:c>
      <x:c r="K211" s="48" t="n">
        <x:f>IF(COUNT(D211,F211)&lt;2,"",D211-F211)</x:f>
        <x:v>218.17999999999998</x:v>
      </x:c>
      <x:c r="L211" s="48" t="n">
        <x:f>IF(COUNT(E211,G211)&lt;2,"",E211-G211)</x:f>
        <x:v>201.48000000000002</x:v>
      </x:c>
      <x:c r="M211" s="31" t="str">
        <x:v>网站结构化接口</x:v>
      </x:c>
      <x:c r="N211" s="36" t="d">
        <x:v>2026-10-28T14:16:22.777Z</x:v>
      </x:c>
    </x:row>
    <x:row r="212">
      <x:c r="A212" s="36" t="d">
        <x:v>2025-07-30T00:00:00.000Z</x:v>
      </x:c>
      <x:c r="B212" s="48" t="n">
        <x:v>357.06</x:v>
      </x:c>
      <x:c r="C212" s="48" t="n">
        <x:v>302.95</x:v>
      </x:c>
      <x:c r="D212" s="48" t="n">
        <x:v>401.41</x:v>
      </x:c>
      <x:c r="E212" s="48" t="n">
        <x:v>343.53</x:v>
      </x:c>
      <x:c r="F212" s="48" t="n">
        <x:v>143.27</x:v>
      </x:c>
      <x:c r="G212" s="48" t="n">
        <x:v>122.76</x:v>
      </x:c>
      <x:c r="H212" s="49" t="n">
        <x:v>635532.19</x:v>
      </x:c>
      <x:c r="I212" s="49" t="n">
        <x:v>626318.27</x:v>
      </x:c>
      <x:c r="J212" s="48" t="n">
        <x:f>IF(COUNT(B212:C212)&lt;2,"",B212-C212)</x:f>
        <x:v>54.110000000000014</x:v>
      </x:c>
      <x:c r="K212" s="48" t="n">
        <x:f>IF(COUNT(D212,F212)&lt;2,"",D212-F212)</x:f>
        <x:v>258.14</x:v>
      </x:c>
      <x:c r="L212" s="48" t="n">
        <x:f>IF(COUNT(E212,G212)&lt;2,"",E212-G212)</x:f>
        <x:v>220.76999999999998</x:v>
      </x:c>
      <x:c r="M212" s="31" t="str">
        <x:v>网站结构化接口</x:v>
      </x:c>
      <x:c r="N212" s="36" t="d">
        <x:v>2026-10-28T14:16:22.777Z</x:v>
      </x:c>
    </x:row>
    <x:row r="213">
      <x:c r="A213" s="36" t="d">
        <x:v>2025-07-31T00:00:00.000Z</x:v>
      </x:c>
      <x:c r="B213" s="48" t="n">
        <x:v>413.09</x:v>
      </x:c>
      <x:c r="C213" s="48" t="n">
        <x:v>393.62</x:v>
      </x:c>
      <x:c r="D213" s="48" t="n">
        <x:v>457.62</x:v>
      </x:c>
      <x:c r="E213" s="48" t="n">
        <x:v>431.55</x:v>
      </x:c>
      <x:c r="F213" s="48" t="n">
        <x:v>206.48</x:v>
      </x:c>
      <x:c r="G213" s="48" t="n">
        <x:v>208.16</x:v>
      </x:c>
      <x:c r="H213" s="49" t="n">
        <x:v>663225.76</x:v>
      </x:c>
      <x:c r="I213" s="49" t="n">
        <x:v>649758.52</x:v>
      </x:c>
      <x:c r="J213" s="48" t="n">
        <x:f>IF(COUNT(B213:C213)&lt;2,"",B213-C213)</x:f>
        <x:v>19.46999999999997</x:v>
      </x:c>
      <x:c r="K213" s="48" t="n">
        <x:f>IF(COUNT(D213,F213)&lt;2,"",D213-F213)</x:f>
        <x:v>251.14000000000001</x:v>
      </x:c>
      <x:c r="L213" s="48" t="n">
        <x:f>IF(COUNT(E213,G213)&lt;2,"",E213-G213)</x:f>
        <x:v>223.39000000000001</x:v>
      </x:c>
      <x:c r="M213" s="31" t="str">
        <x:v>网站结构化接口</x:v>
      </x:c>
      <x:c r="N213" s="36" t="d">
        <x:v>2026-10-28T14:16:22.777Z</x:v>
      </x:c>
    </x:row>
    <x:row r="214">
      <x:c r="A214" s="36" t="d">
        <x:v>2025-08-01T00:00:00.000Z</x:v>
      </x:c>
      <x:c r="B214" s="48" t="n">
        <x:v>293</x:v>
      </x:c>
      <x:c r="C214" s="48" t="n">
        <x:v>222.2</x:v>
      </x:c>
      <x:c r="D214" s="48" t="n">
        <x:v>314.75</x:v>
      </x:c>
      <x:c r="E214" s="48" t="n">
        <x:v>239.13</x:v>
      </x:c>
      <x:c r="F214" s="48" t="n">
        <x:v>175.55</x:v>
      </x:c>
      <x:c r="G214" s="48" t="n">
        <x:v>138.62</x:v>
      </x:c>
      <x:c r="H214" s="49" t="n">
        <x:v>653664.1</x:v>
      </x:c>
      <x:c r="I214" s="49" t="n">
        <x:v>628645.09</x:v>
      </x:c>
      <x:c r="J214" s="48" t="n">
        <x:f>IF(COUNT(B214:C214)&lt;2,"",B214-C214)</x:f>
        <x:v>70.80000000000001</x:v>
      </x:c>
      <x:c r="K214" s="48" t="n">
        <x:f>IF(COUNT(D214,F214)&lt;2,"",D214-F214)</x:f>
        <x:v>139.2</x:v>
      </x:c>
      <x:c r="L214" s="48" t="n">
        <x:f>IF(COUNT(E214,G214)&lt;2,"",E214-G214)</x:f>
        <x:v>100.50999999999999</x:v>
      </x:c>
      <x:c r="M214" s="31" t="str">
        <x:v>网站结构化接口</x:v>
      </x:c>
      <x:c r="N214" s="36" t="d">
        <x:v>2026-10-28T14:16:22.777Z</x:v>
      </x:c>
    </x:row>
    <x:row r="215">
      <x:c r="A215" s="36" t="d">
        <x:v>2025-08-02T00:00:00.000Z</x:v>
      </x:c>
      <x:c r="B215" s="48" t="n">
        <x:v>313.56</x:v>
      </x:c>
      <x:c r="C215" s="48" t="n">
        <x:v>274.98</x:v>
      </x:c>
      <x:c r="D215" s="48" t="n">
        <x:v>351.53</x:v>
      </x:c>
      <x:c r="E215" s="48" t="n">
        <x:v>312.45</x:v>
      </x:c>
      <x:c r="F215" s="48" t="n">
        <x:v>146.74</x:v>
      </x:c>
      <x:c r="G215" s="48" t="n">
        <x:v>130.57</x:v>
      </x:c>
      <x:c r="H215" s="49" t="n">
        <x:v>623154.93</x:v>
      </x:c>
      <x:c r="I215" s="49" t="n">
        <x:v>624722.9</x:v>
      </x:c>
      <x:c r="J215" s="48" t="n">
        <x:f>IF(COUNT(B215:C215)&lt;2,"",B215-C215)</x:f>
        <x:v>38.579999999999984</x:v>
      </x:c>
      <x:c r="K215" s="48" t="n">
        <x:f>IF(COUNT(D215,F215)&lt;2,"",D215-F215)</x:f>
        <x:v>204.78999999999996</x:v>
      </x:c>
      <x:c r="L215" s="48" t="n">
        <x:f>IF(COUNT(E215,G215)&lt;2,"",E215-G215)</x:f>
        <x:v>181.88</x:v>
      </x:c>
      <x:c r="M215" s="31" t="str">
        <x:v>网站结构化接口</x:v>
      </x:c>
      <x:c r="N215" s="36" t="d">
        <x:v>2026-10-28T14:16:22.777Z</x:v>
      </x:c>
    </x:row>
    <x:row r="216">
      <x:c r="A216" s="36" t="d">
        <x:v>2025-08-03T00:00:00.000Z</x:v>
      </x:c>
      <x:c r="B216" s="48" t="n">
        <x:v>358.84</x:v>
      </x:c>
      <x:c r="C216" s="48" t="n">
        <x:v>401.07</x:v>
      </x:c>
      <x:c r="D216" s="48" t="n">
        <x:v>399.31</x:v>
      </x:c>
      <x:c r="E216" s="48" t="n">
        <x:v>440.56</x:v>
      </x:c>
      <x:c r="F216" s="48" t="n">
        <x:v>164.53</x:v>
      </x:c>
      <x:c r="G216" s="48" t="n">
        <x:v>207.67</x:v>
      </x:c>
      <x:c r="H216" s="49" t="n">
        <x:v>634341.97</x:v>
      </x:c>
      <x:c r="I216" s="49" t="n">
        <x:v>661587.25</x:v>
      </x:c>
      <x:c r="J216" s="48" t="n">
        <x:f>IF(COUNT(B216:C216)&lt;2,"",B216-C216)</x:f>
        <x:v>-42.23000000000002</x:v>
      </x:c>
      <x:c r="K216" s="48" t="n">
        <x:f>IF(COUNT(D216,F216)&lt;2,"",D216-F216)</x:f>
        <x:v>234.78</x:v>
      </x:c>
      <x:c r="L216" s="48" t="n">
        <x:f>IF(COUNT(E216,G216)&lt;2,"",E216-G216)</x:f>
        <x:v>232.89000000000001</x:v>
      </x:c>
      <x:c r="M216" s="31" t="str">
        <x:v>网站结构化接口</x:v>
      </x:c>
      <x:c r="N216" s="36" t="d">
        <x:v>2026-10-28T14:16:22.777Z</x:v>
      </x:c>
    </x:row>
    <x:row r="217">
      <x:c r="A217" s="36" t="d">
        <x:v>2025-08-04T00:00:00.000Z</x:v>
      </x:c>
      <x:c r="B217" s="48" t="n">
        <x:v>423.42</x:v>
      </x:c>
      <x:c r="C217" s="48" t="n">
        <x:v>438.38</x:v>
      </x:c>
      <x:c r="D217" s="48" t="n">
        <x:v>437.13</x:v>
      </x:c>
      <x:c r="E217" s="48" t="n">
        <x:v>444.86</x:v>
      </x:c>
      <x:c r="F217" s="48" t="n">
        <x:v>306.27</x:v>
      </x:c>
      <x:c r="G217" s="48" t="n">
        <x:v>375.58</x:v>
      </x:c>
      <x:c r="H217" s="49" t="n">
        <x:v>705764.41</x:v>
      </x:c>
      <x:c r="I217" s="49" t="n">
        <x:v>723971.06</x:v>
      </x:c>
      <x:c r="J217" s="48" t="n">
        <x:f>IF(COUNT(B217:C217)&lt;2,"",B217-C217)</x:f>
        <x:v>-14.95999999999998</x:v>
      </x:c>
      <x:c r="K217" s="48" t="n">
        <x:f>IF(COUNT(D217,F217)&lt;2,"",D217-F217)</x:f>
        <x:v>130.86</x:v>
      </x:c>
      <x:c r="L217" s="48" t="n">
        <x:f>IF(COUNT(E217,G217)&lt;2,"",E217-G217)</x:f>
        <x:v>69.28000000000003</x:v>
      </x:c>
      <x:c r="M217" s="31" t="str">
        <x:v>网站结构化接口</x:v>
      </x:c>
      <x:c r="N217" s="36" t="d">
        <x:v>2026-10-28T14:16:22.777Z</x:v>
      </x:c>
    </x:row>
    <x:row r="218">
      <x:c r="A218" s="36" t="d">
        <x:v>2025-08-05T00:00:00.000Z</x:v>
      </x:c>
      <x:c r="B218" s="48" t="n">
        <x:v>272.78</x:v>
      </x:c>
      <x:c r="C218" s="48" t="n">
        <x:v>471.49</x:v>
      </x:c>
      <x:c r="D218" s="48" t="n">
        <x:v>295.48</x:v>
      </x:c>
      <x:c r="E218" s="48" t="n">
        <x:v>496.88</x:v>
      </x:c>
      <x:c r="F218" s="48" t="n">
        <x:v>133.37</x:v>
      </x:c>
      <x:c r="G218" s="48" t="n">
        <x:v>263.29</x:v>
      </x:c>
      <x:c r="H218" s="49" t="n">
        <x:v>591633.95</x:v>
      </x:c>
      <x:c r="I218" s="49" t="n">
        <x:v>681956.48</x:v>
      </x:c>
      <x:c r="J218" s="48" t="n">
        <x:f>IF(COUNT(B218:C218)&lt;2,"",B218-C218)</x:f>
        <x:v>-198.71000000000004</x:v>
      </x:c>
      <x:c r="K218" s="48" t="n">
        <x:f>IF(COUNT(D218,F218)&lt;2,"",D218-F218)</x:f>
        <x:v>162.11</x:v>
      </x:c>
      <x:c r="L218" s="48" t="n">
        <x:f>IF(COUNT(E218,G218)&lt;2,"",E218-G218)</x:f>
        <x:v>233.58999999999997</x:v>
      </x:c>
      <x:c r="M218" s="31" t="str">
        <x:v>网站结构化接口</x:v>
      </x:c>
      <x:c r="N218" s="36" t="d">
        <x:v>2026-10-28T14:16:22.777Z</x:v>
      </x:c>
    </x:row>
    <x:row r="219">
      <x:c r="A219" s="36" t="d">
        <x:v>2025-08-06T00:00:00.000Z</x:v>
      </x:c>
      <x:c r="B219" s="48" t="n">
        <x:v>364.51</x:v>
      </x:c>
      <x:c r="C219" s="48" t="n">
        <x:v>485.46</x:v>
      </x:c>
      <x:c r="D219" s="48" t="n">
        <x:v>404.07</x:v>
      </x:c>
      <x:c r="E219" s="48" t="n">
        <x:v>512.9</x:v>
      </x:c>
      <x:c r="F219" s="48" t="n">
        <x:v>139.35</x:v>
      </x:c>
      <x:c r="G219" s="48" t="n">
        <x:v>269.78</x:v>
      </x:c>
      <x:c r="H219" s="49" t="n">
        <x:v>612174.93</x:v>
      </x:c>
      <x:c r="I219" s="49" t="n">
        <x:v>670647.03</x:v>
      </x:c>
      <x:c r="J219" s="48" t="n">
        <x:f>IF(COUNT(B219:C219)&lt;2,"",B219-C219)</x:f>
        <x:v>-120.94999999999999</x:v>
      </x:c>
      <x:c r="K219" s="48" t="n">
        <x:f>IF(COUNT(D219,F219)&lt;2,"",D219-F219)</x:f>
        <x:v>264.72</x:v>
      </x:c>
      <x:c r="L219" s="48" t="n">
        <x:f>IF(COUNT(E219,G219)&lt;2,"",E219-G219)</x:f>
        <x:v>243.12</x:v>
      </x:c>
      <x:c r="M219" s="31" t="str">
        <x:v>网站结构化接口</x:v>
      </x:c>
      <x:c r="N219" s="36" t="d">
        <x:v>2026-10-28T14:16:22.777Z</x:v>
      </x:c>
    </x:row>
    <x:row r="220">
      <x:c r="A220" s="36" t="d">
        <x:v>2025-08-07T00:00:00.000Z</x:v>
      </x:c>
      <x:c r="B220" s="48" t="n">
        <x:v>391.09</x:v>
      </x:c>
      <x:c r="C220" s="48" t="n">
        <x:v>435.02</x:v>
      </x:c>
      <x:c r="D220" s="48" t="n">
        <x:v>421.67</x:v>
      </x:c>
      <x:c r="E220" s="48" t="n">
        <x:v>449.91</x:v>
      </x:c>
      <x:c r="F220" s="48" t="n">
        <x:v>207.77</x:v>
      </x:c>
      <x:c r="G220" s="48" t="n">
        <x:v>305.15</x:v>
      </x:c>
      <x:c r="H220" s="49" t="n">
        <x:v>659432.22</x:v>
      </x:c>
      <x:c r="I220" s="49" t="n">
        <x:v>680848.58</x:v>
      </x:c>
      <x:c r="J220" s="48" t="n">
        <x:f>IF(COUNT(B220:C220)&lt;2,"",B220-C220)</x:f>
        <x:v>-43.93000000000001</x:v>
      </x:c>
      <x:c r="K220" s="48" t="n">
        <x:f>IF(COUNT(D220,F220)&lt;2,"",D220-F220)</x:f>
        <x:v>213.9</x:v>
      </x:c>
      <x:c r="L220" s="48" t="n">
        <x:f>IF(COUNT(E220,G220)&lt;2,"",E220-G220)</x:f>
        <x:v>144.76000000000005</x:v>
      </x:c>
      <x:c r="M220" s="31" t="str">
        <x:v>网站结构化接口</x:v>
      </x:c>
      <x:c r="N220" s="36" t="d">
        <x:v>2026-10-28T14:16:22.777Z</x:v>
      </x:c>
    </x:row>
    <x:row r="221">
      <x:c r="A221" s="36" t="d">
        <x:v>2025-08-08T00:00:00.000Z</x:v>
      </x:c>
      <x:c r="B221" s="48" t="n">
        <x:v>417.88</x:v>
      </x:c>
      <x:c r="C221" s="48" t="n">
        <x:v>439.36</x:v>
      </x:c>
      <x:c r="D221" s="48" t="n">
        <x:v>441.45</x:v>
      </x:c>
      <x:c r="E221" s="48" t="n">
        <x:v>456.06</x:v>
      </x:c>
      <x:c r="F221" s="48" t="n">
        <x:v>255.3</x:v>
      </x:c>
      <x:c r="G221" s="48" t="n">
        <x:v>314.06</x:v>
      </x:c>
      <x:c r="H221" s="49" t="n">
        <x:v>691182.27</x:v>
      </x:c>
      <x:c r="I221" s="49" t="n">
        <x:v>693310.62</x:v>
      </x:c>
      <x:c r="J221" s="48" t="n">
        <x:f>IF(COUNT(B221:C221)&lt;2,"",B221-C221)</x:f>
        <x:v>-21.480000000000018</x:v>
      </x:c>
      <x:c r="K221" s="48" t="n">
        <x:f>IF(COUNT(D221,F221)&lt;2,"",D221-F221)</x:f>
        <x:v>186.14999999999998</x:v>
      </x:c>
      <x:c r="L221" s="48" t="n">
        <x:f>IF(COUNT(E221,G221)&lt;2,"",E221-G221)</x:f>
        <x:v>142</x:v>
      </x:c>
      <x:c r="M221" s="31" t="str">
        <x:v>网站结构化接口</x:v>
      </x:c>
      <x:c r="N221" s="36" t="d">
        <x:v>2026-10-28T14:16:22.777Z</x:v>
      </x:c>
    </x:row>
    <x:row r="222">
      <x:c r="A222" s="36" t="d">
        <x:v>2025-08-09T00:00:00.000Z</x:v>
      </x:c>
      <x:c r="B222" s="48" t="n">
        <x:v>287.85</x:v>
      </x:c>
      <x:c r="C222" s="48" t="n">
        <x:v>276.56</x:v>
      </x:c>
      <x:c r="D222" s="48" t="n">
        <x:v>311.11</x:v>
      </x:c>
      <x:c r="E222" s="48" t="n">
        <x:v>299.31</x:v>
      </x:c>
      <x:c r="F222" s="48" t="n">
        <x:v>155.79</x:v>
      </x:c>
      <x:c r="G222" s="48" t="n">
        <x:v>138.97</x:v>
      </x:c>
      <x:c r="H222" s="49" t="n">
        <x:v>587088.91</x:v>
      </x:c>
      <x:c r="I222" s="49" t="n">
        <x:v>585471.61</x:v>
      </x:c>
      <x:c r="J222" s="48" t="n">
        <x:f>IF(COUNT(B222:C222)&lt;2,"",B222-C222)</x:f>
        <x:v>11.29000000000002</x:v>
      </x:c>
      <x:c r="K222" s="48" t="n">
        <x:f>IF(COUNT(D222,F222)&lt;2,"",D222-F222)</x:f>
        <x:v>155.32000000000002</x:v>
      </x:c>
      <x:c r="L222" s="48" t="n">
        <x:f>IF(COUNT(E222,G222)&lt;2,"",E222-G222)</x:f>
        <x:v>160.34</x:v>
      </x:c>
      <x:c r="M222" s="31" t="str">
        <x:v>网站结构化接口</x:v>
      </x:c>
      <x:c r="N222" s="36" t="d">
        <x:v>2026-10-28T14:16:22.777Z</x:v>
      </x:c>
    </x:row>
    <x:row r="223">
      <x:c r="A223" s="36" t="d">
        <x:v>2025-08-10T00:00:00.000Z</x:v>
      </x:c>
      <x:c r="B223" s="48" t="n">
        <x:v>238.13</x:v>
      </x:c>
      <x:c r="C223" s="48" t="n">
        <x:v>241.79</x:v>
      </x:c>
      <x:c r="D223" s="48" t="n">
        <x:v>262.81</x:v>
      </x:c>
      <x:c r="E223" s="48" t="n">
        <x:v>267.75</x:v>
      </x:c>
      <x:c r="F223" s="48" t="n">
        <x:v>93.09</x:v>
      </x:c>
      <x:c r="G223" s="48" t="n">
        <x:v>91.84</x:v>
      </x:c>
      <x:c r="H223" s="49" t="n">
        <x:v>540223.99</x:v>
      </x:c>
      <x:c r="I223" s="49" t="n">
        <x:v>523192.89</x:v>
      </x:c>
      <x:c r="J223" s="48" t="n">
        <x:f>IF(COUNT(B223:C223)&lt;2,"",B223-C223)</x:f>
        <x:v>-3.6599999999999966</x:v>
      </x:c>
      <x:c r="K223" s="48" t="n">
        <x:f>IF(COUNT(D223,F223)&lt;2,"",D223-F223)</x:f>
        <x:v>169.72</x:v>
      </x:c>
      <x:c r="L223" s="48" t="n">
        <x:f>IF(COUNT(E223,G223)&lt;2,"",E223-G223)</x:f>
        <x:v>175.91</x:v>
      </x:c>
      <x:c r="M223" s="31" t="str">
        <x:v>网站结构化接口</x:v>
      </x:c>
      <x:c r="N223" s="36" t="d">
        <x:v>2026-10-28T14:16:22.777Z</x:v>
      </x:c>
    </x:row>
    <x:row r="224">
      <x:c r="A224" s="36" t="d">
        <x:v>2025-08-11T00:00:00.000Z</x:v>
      </x:c>
      <x:c r="B224" s="48" t="n">
        <x:v>242.83</x:v>
      </x:c>
      <x:c r="C224" s="48" t="n">
        <x:v>172.7</x:v>
      </x:c>
      <x:c r="D224" s="48" t="n">
        <x:v>271.77</x:v>
      </x:c>
      <x:c r="E224" s="48" t="n">
        <x:v>191.77</x:v>
      </x:c>
      <x:c r="F224" s="48" t="n">
        <x:v>100.51</x:v>
      </x:c>
      <x:c r="G224" s="48" t="n">
        <x:v>91.98</x:v>
      </x:c>
      <x:c r="H224" s="49" t="n">
        <x:v>547021.74</x:v>
      </x:c>
      <x:c r="I224" s="49" t="n">
        <x:v>501244.19</x:v>
      </x:c>
      <x:c r="J224" s="48" t="n">
        <x:f>IF(COUNT(B224:C224)&lt;2,"",B224-C224)</x:f>
        <x:v>70.13000000000002</x:v>
      </x:c>
      <x:c r="K224" s="48" t="n">
        <x:f>IF(COUNT(D224,F224)&lt;2,"",D224-F224)</x:f>
        <x:v>171.26</x:v>
      </x:c>
      <x:c r="L224" s="48" t="n">
        <x:f>IF(COUNT(E224,G224)&lt;2,"",E224-G224)</x:f>
        <x:v>99.79</x:v>
      </x:c>
      <x:c r="M224" s="31" t="str">
        <x:v>网站结构化接口</x:v>
      </x:c>
      <x:c r="N224" s="36" t="d">
        <x:v>2026-10-28T14:16:22.777Z</x:v>
      </x:c>
    </x:row>
    <x:row r="225">
      <x:c r="A225" s="36" t="d">
        <x:v>2025-08-12T00:00:00.000Z</x:v>
      </x:c>
      <x:c r="B225" s="48" t="n">
        <x:v>285.98</x:v>
      </x:c>
      <x:c r="C225" s="48" t="n">
        <x:v>209.2</x:v>
      </x:c>
      <x:c r="D225" s="48" t="n">
        <x:v>321.63</x:v>
      </x:c>
      <x:c r="E225" s="48" t="n">
        <x:v>230.71</x:v>
      </x:c>
      <x:c r="F225" s="48" t="n">
        <x:v>121.54</x:v>
      </x:c>
      <x:c r="G225" s="48" t="n">
        <x:v>106.13</x:v>
      </x:c>
      <x:c r="H225" s="49" t="n">
        <x:v>569409.22</x:v>
      </x:c>
      <x:c r="I225" s="49" t="n">
        <x:v>539404.05</x:v>
      </x:c>
      <x:c r="J225" s="48" t="n">
        <x:f>IF(COUNT(B225:C225)&lt;2,"",B225-C225)</x:f>
        <x:v>76.78000000000003</x:v>
      </x:c>
      <x:c r="K225" s="48" t="n">
        <x:f>IF(COUNT(D225,F225)&lt;2,"",D225-F225)</x:f>
        <x:v>200.08999999999997</x:v>
      </x:c>
      <x:c r="L225" s="48" t="n">
        <x:f>IF(COUNT(E225,G225)&lt;2,"",E225-G225)</x:f>
        <x:v>124.58000000000001</x:v>
      </x:c>
      <x:c r="M225" s="31" t="str">
        <x:v>网站结构化接口</x:v>
      </x:c>
      <x:c r="N225" s="36" t="d">
        <x:v>2026-10-28T14:16:22.777Z</x:v>
      </x:c>
    </x:row>
    <x:row r="226">
      <x:c r="A226" s="36" t="d">
        <x:v>2025-08-13T00:00:00.000Z</x:v>
      </x:c>
      <x:c r="B226" s="48" t="n">
        <x:v>284.41</x:v>
      </x:c>
      <x:c r="C226" s="48" t="n">
        <x:v>199.83</x:v>
      </x:c>
      <x:c r="D226" s="48" t="n">
        <x:v>319.6</x:v>
      </x:c>
      <x:c r="E226" s="48" t="n">
        <x:v>232.13</x:v>
      </x:c>
      <x:c r="F226" s="48" t="n">
        <x:v>132.76</x:v>
      </x:c>
      <x:c r="G226" s="48" t="n">
        <x:v>78.03</x:v>
      </x:c>
      <x:c r="H226" s="49" t="n">
        <x:v>563558.58</x:v>
      </x:c>
      <x:c r="I226" s="49" t="n">
        <x:v>544816.35</x:v>
      </x:c>
      <x:c r="J226" s="48" t="n">
        <x:f>IF(COUNT(B226:C226)&lt;2,"",B226-C226)</x:f>
        <x:v>84.58000000000001</x:v>
      </x:c>
      <x:c r="K226" s="48" t="n">
        <x:f>IF(COUNT(D226,F226)&lt;2,"",D226-F226)</x:f>
        <x:v>186.84000000000003</x:v>
      </x:c>
      <x:c r="L226" s="48" t="n">
        <x:f>IF(COUNT(E226,G226)&lt;2,"",E226-G226)</x:f>
        <x:v>154.1</x:v>
      </x:c>
      <x:c r="M226" s="31" t="str">
        <x:v>网站结构化接口</x:v>
      </x:c>
      <x:c r="N226" s="36" t="d">
        <x:v>2026-10-28T14:16:22.777Z</x:v>
      </x:c>
    </x:row>
    <x:row r="227">
      <x:c r="A227" s="36" t="d">
        <x:v>2025-08-14T00:00:00.000Z</x:v>
      </x:c>
      <x:c r="B227" s="48" t="n">
        <x:v>255.26</x:v>
      </x:c>
      <x:c r="C227" s="48" t="n">
        <x:v>260.14</x:v>
      </x:c>
      <x:c r="D227" s="48" t="n">
        <x:v>309.76</x:v>
      </x:c>
      <x:c r="E227" s="48" t="n">
        <x:v>314.18</x:v>
      </x:c>
      <x:c r="F227" s="48" t="n">
        <x:v>111.67</x:v>
      </x:c>
      <x:c r="G227" s="48" t="n">
        <x:v>112.48</x:v>
      </x:c>
      <x:c r="H227" s="49" t="n">
        <x:v>554038.16</x:v>
      </x:c>
      <x:c r="I227" s="49" t="n">
        <x:v>552889.28</x:v>
      </x:c>
      <x:c r="J227" s="48" t="n">
        <x:f>IF(COUNT(B227:C227)&lt;2,"",B227-C227)</x:f>
        <x:v>-4.8799999999999955</x:v>
      </x:c>
      <x:c r="K227" s="48" t="n">
        <x:f>IF(COUNT(D227,F227)&lt;2,"",D227-F227)</x:f>
        <x:v>198.08999999999997</x:v>
      </x:c>
      <x:c r="L227" s="48" t="n">
        <x:f>IF(COUNT(E227,G227)&lt;2,"",E227-G227)</x:f>
        <x:v>201.7</x:v>
      </x:c>
      <x:c r="M227" s="31" t="str">
        <x:v>网站结构化接口</x:v>
      </x:c>
      <x:c r="N227" s="36" t="d">
        <x:v>2026-10-28T14:16:22.777Z</x:v>
      </x:c>
    </x:row>
    <x:row r="228">
      <x:c r="A228" s="36" t="d">
        <x:v>2025-08-15T00:00:00.000Z</x:v>
      </x:c>
      <x:c r="B228" s="48" t="n">
        <x:v>228.02</x:v>
      </x:c>
      <x:c r="C228" s="48" t="n">
        <x:v>215.81</x:v>
      </x:c>
      <x:c r="D228" s="48" t="n">
        <x:v>284.91</x:v>
      </x:c>
      <x:c r="E228" s="48" t="n">
        <x:v>261.21</x:v>
      </x:c>
      <x:c r="F228" s="48" t="n">
        <x:v>83.93</x:v>
      </x:c>
      <x:c r="G228" s="48" t="n">
        <x:v>96.45</x:v>
      </x:c>
      <x:c r="H228" s="49" t="n">
        <x:v>549068.84</x:v>
      </x:c>
      <x:c r="I228" s="49" t="n">
        <x:v>543634.21</x:v>
      </x:c>
      <x:c r="J228" s="48" t="n">
        <x:f>IF(COUNT(B228:C228)&lt;2,"",B228-C228)</x:f>
        <x:v>12.210000000000008</x:v>
      </x:c>
      <x:c r="K228" s="48" t="n">
        <x:f>IF(COUNT(D228,F228)&lt;2,"",D228-F228)</x:f>
        <x:v>200.98000000000002</x:v>
      </x:c>
      <x:c r="L228" s="48" t="n">
        <x:f>IF(COUNT(E228,G228)&lt;2,"",E228-G228)</x:f>
        <x:v>164.76</x:v>
      </x:c>
      <x:c r="M228" s="31" t="str">
        <x:v>网站结构化接口</x:v>
      </x:c>
      <x:c r="N228" s="36" t="d">
        <x:v>2026-10-28T14:16:22.777Z</x:v>
      </x:c>
    </x:row>
    <x:row r="229">
      <x:c r="A229" s="36" t="d">
        <x:v>2025-08-16T00:00:00.000Z</x:v>
      </x:c>
      <x:c r="B229" s="48" t="n">
        <x:v>197.52</x:v>
      </x:c>
      <x:c r="C229" s="48" t="n">
        <x:v>257.6</x:v>
      </x:c>
      <x:c r="D229" s="48" t="n">
        <x:v>244.54</x:v>
      </x:c>
      <x:c r="E229" s="48" t="n">
        <x:v>300.44</x:v>
      </x:c>
      <x:c r="F229" s="48" t="n">
        <x:v>76.78</x:v>
      </x:c>
      <x:c r="G229" s="48" t="n">
        <x:v>126.06</x:v>
      </x:c>
      <x:c r="H229" s="49" t="n">
        <x:v>518365.83</x:v>
      </x:c>
      <x:c r="I229" s="49" t="n">
        <x:v>521043.9</x:v>
      </x:c>
      <x:c r="J229" s="48" t="n">
        <x:f>IF(COUNT(B229:C229)&lt;2,"",B229-C229)</x:f>
        <x:v>-60.08000000000001</x:v>
      </x:c>
      <x:c r="K229" s="48" t="n">
        <x:f>IF(COUNT(D229,F229)&lt;2,"",D229-F229)</x:f>
        <x:v>167.76</x:v>
      </x:c>
      <x:c r="L229" s="48" t="n">
        <x:f>IF(COUNT(E229,G229)&lt;2,"",E229-G229)</x:f>
        <x:v>174.38</x:v>
      </x:c>
      <x:c r="M229" s="31" t="str">
        <x:v>网站结构化接口</x:v>
      </x:c>
      <x:c r="N229" s="36" t="d">
        <x:v>2026-10-28T14:16:22.777Z</x:v>
      </x:c>
    </x:row>
    <x:row r="230">
      <x:c r="A230" s="36" t="d">
        <x:v>2025-08-17T00:00:00.000Z</x:v>
      </x:c>
      <x:c r="B230" s="48" t="n">
        <x:v>248.35</x:v>
      </x:c>
      <x:c r="C230" s="48" t="n">
        <x:v>258</x:v>
      </x:c>
      <x:c r="D230" s="48" t="n">
        <x:v>297.92</x:v>
      </x:c>
      <x:c r="E230" s="48" t="n">
        <x:v>301.61</x:v>
      </x:c>
      <x:c r="F230" s="48" t="n">
        <x:v>117.15</x:v>
      </x:c>
      <x:c r="G230" s="48" t="n">
        <x:v>130.31</x:v>
      </x:c>
      <x:c r="H230" s="49" t="n">
        <x:v>559637.94</x:v>
      </x:c>
      <x:c r="I230" s="49" t="n">
        <x:v>571489.61</x:v>
      </x:c>
      <x:c r="J230" s="48" t="n">
        <x:f>IF(COUNT(B230:C230)&lt;2,"",B230-C230)</x:f>
        <x:v>-9.650000000000006</x:v>
      </x:c>
      <x:c r="K230" s="48" t="n">
        <x:f>IF(COUNT(D230,F230)&lt;2,"",D230-F230)</x:f>
        <x:v>180.77</x:v>
      </x:c>
      <x:c r="L230" s="48" t="n">
        <x:f>IF(COUNT(E230,G230)&lt;2,"",E230-G230)</x:f>
        <x:v>171.3</x:v>
      </x:c>
      <x:c r="M230" s="31" t="str">
        <x:v>网站结构化接口</x:v>
      </x:c>
      <x:c r="N230" s="36" t="d">
        <x:v>2026-10-28T14:16:22.777Z</x:v>
      </x:c>
    </x:row>
    <x:row r="231">
      <x:c r="A231" s="36" t="d">
        <x:v>2025-08-18T00:00:00.000Z</x:v>
      </x:c>
      <x:c r="B231" s="48" t="n">
        <x:v>271.13</x:v>
      </x:c>
      <x:c r="C231" s="48" t="n">
        <x:v>346.46</x:v>
      </x:c>
      <x:c r="D231" s="48" t="n">
        <x:v>324.63</x:v>
      </x:c>
      <x:c r="E231" s="48" t="n">
        <x:v>419</x:v>
      </x:c>
      <x:c r="F231" s="48" t="n">
        <x:v>128.47</x:v>
      </x:c>
      <x:c r="G231" s="48" t="n">
        <x:v>140.9</x:v>
      </x:c>
      <x:c r="H231" s="49" t="n">
        <x:v>585733.15</x:v>
      </x:c>
      <x:c r="I231" s="49" t="n">
        <x:v>591719.58</x:v>
      </x:c>
      <x:c r="J231" s="48" t="n">
        <x:f>IF(COUNT(B231:C231)&lt;2,"",B231-C231)</x:f>
        <x:v>-75.32999999999998</x:v>
      </x:c>
      <x:c r="K231" s="48" t="n">
        <x:f>IF(COUNT(D231,F231)&lt;2,"",D231-F231)</x:f>
        <x:v>196.16</x:v>
      </x:c>
      <x:c r="L231" s="48" t="n">
        <x:f>IF(COUNT(E231,G231)&lt;2,"",E231-G231)</x:f>
        <x:v>278.1</x:v>
      </x:c>
      <x:c r="M231" s="31" t="str">
        <x:v>网站结构化接口</x:v>
      </x:c>
      <x:c r="N231" s="36" t="d">
        <x:v>2026-10-28T14:16:22.777Z</x:v>
      </x:c>
    </x:row>
    <x:row r="232">
      <x:c r="A232" s="36" t="d">
        <x:v>2025-08-19T00:00:00.000Z</x:v>
      </x:c>
      <x:c r="B232" s="48" t="n">
        <x:v>374.71</x:v>
      </x:c>
      <x:c r="C232" s="48" t="n">
        <x:v>368.34</x:v>
      </x:c>
      <x:c r="D232" s="48" t="n">
        <x:v>447.39</x:v>
      </x:c>
      <x:c r="E232" s="48" t="n">
        <x:v>427.11</x:v>
      </x:c>
      <x:c r="F232" s="48" t="n">
        <x:v>140.84</x:v>
      </x:c>
      <x:c r="G232" s="48" t="n">
        <x:v>156.1</x:v>
      </x:c>
      <x:c r="H232" s="49" t="n">
        <x:v>648222.62</x:v>
      </x:c>
      <x:c r="I232" s="49" t="n">
        <x:v>626697.48</x:v>
      </x:c>
      <x:c r="J232" s="48" t="n">
        <x:f>IF(COUNT(B232:C232)&lt;2,"",B232-C232)</x:f>
        <x:v>6.3700000000000045</x:v>
      </x:c>
      <x:c r="K232" s="48" t="n">
        <x:f>IF(COUNT(D232,F232)&lt;2,"",D232-F232)</x:f>
        <x:v>306.54999999999995</x:v>
      </x:c>
      <x:c r="L232" s="48" t="n">
        <x:f>IF(COUNT(E232,G232)&lt;2,"",E232-G232)</x:f>
        <x:v>271.01</x:v>
      </x:c>
      <x:c r="M232" s="31" t="str">
        <x:v>网站结构化接口</x:v>
      </x:c>
      <x:c r="N232" s="36" t="d">
        <x:v>2026-10-28T14:16:22.777Z</x:v>
      </x:c>
    </x:row>
    <x:row r="233">
      <x:c r="A233" s="36" t="d">
        <x:v>2025-08-20T00:00:00.000Z</x:v>
      </x:c>
      <x:c r="B233" s="48" t="n">
        <x:v>360.34</x:v>
      </x:c>
      <x:c r="C233" s="48" t="n">
        <x:v>359.13</x:v>
      </x:c>
      <x:c r="D233" s="48" t="n">
        <x:v>415.58</x:v>
      </x:c>
      <x:c r="E233" s="48" t="n">
        <x:v>416.3</x:v>
      </x:c>
      <x:c r="F233" s="48" t="n">
        <x:v>162.92</x:v>
      </x:c>
      <x:c r="G233" s="48" t="n">
        <x:v>136.89</x:v>
      </x:c>
      <x:c r="H233" s="49" t="n">
        <x:v>646153.5</x:v>
      </x:c>
      <x:c r="I233" s="49" t="n">
        <x:v>642555.05</x:v>
      </x:c>
      <x:c r="J233" s="48" t="n">
        <x:f>IF(COUNT(B233:C233)&lt;2,"",B233-C233)</x:f>
        <x:v>1.2099999999999795</x:v>
      </x:c>
      <x:c r="K233" s="48" t="n">
        <x:f>IF(COUNT(D233,F233)&lt;2,"",D233-F233)</x:f>
        <x:v>252.66</x:v>
      </x:c>
      <x:c r="L233" s="48" t="n">
        <x:f>IF(COUNT(E233,G233)&lt;2,"",E233-G233)</x:f>
        <x:v>279.41</x:v>
      </x:c>
      <x:c r="M233" s="31" t="str">
        <x:v>网站结构化接口</x:v>
      </x:c>
      <x:c r="N233" s="36" t="d">
        <x:v>2026-10-28T14:16:22.777Z</x:v>
      </x:c>
    </x:row>
    <x:row r="234">
      <x:c r="A234" s="36" t="d">
        <x:v>2025-08-21T00:00:00.000Z</x:v>
      </x:c>
      <x:c r="B234" s="48" t="n">
        <x:v>335.92</x:v>
      </x:c>
      <x:c r="C234" s="48" t="n">
        <x:v>282.08</x:v>
      </x:c>
      <x:c r="D234" s="48" t="n">
        <x:v>353.4</x:v>
      </x:c>
      <x:c r="E234" s="48" t="n">
        <x:v>288.06</x:v>
      </x:c>
      <x:c r="F234" s="48" t="n">
        <x:v>219.89</x:v>
      </x:c>
      <x:c r="G234" s="48" t="n">
        <x:v>237.31</x:v>
      </x:c>
      <x:c r="H234" s="49" t="n">
        <x:v>638802.72</x:v>
      </x:c>
      <x:c r="I234" s="49" t="n">
        <x:v>603057.14</x:v>
      </x:c>
      <x:c r="J234" s="48" t="n">
        <x:f>IF(COUNT(B234:C234)&lt;2,"",B234-C234)</x:f>
        <x:v>53.84000000000003</x:v>
      </x:c>
      <x:c r="K234" s="48" t="n">
        <x:f>IF(COUNT(D234,F234)&lt;2,"",D234-F234)</x:f>
        <x:v>133.51</x:v>
      </x:c>
      <x:c r="L234" s="48" t="n">
        <x:f>IF(COUNT(E234,G234)&lt;2,"",E234-G234)</x:f>
        <x:v>50.75</x:v>
      </x:c>
      <x:c r="M234" s="31" t="str">
        <x:v>网站结构化接口</x:v>
      </x:c>
      <x:c r="N234" s="36" t="d">
        <x:v>2026-10-28T14:16:22.777Z</x:v>
      </x:c>
    </x:row>
    <x:row r="235">
      <x:c r="A235" s="36" t="d">
        <x:v>2025-08-22T00:00:00.000Z</x:v>
      </x:c>
      <x:c r="B235" s="48" t="n">
        <x:v>284.51</x:v>
      </x:c>
      <x:c r="C235" s="48" t="n">
        <x:v>331.85</x:v>
      </x:c>
      <x:c r="D235" s="48" t="n">
        <x:v>298.56</x:v>
      </x:c>
      <x:c r="E235" s="48" t="n">
        <x:v>344.11</x:v>
      </x:c>
      <x:c r="F235" s="48" t="n">
        <x:v>181.35</x:v>
      </x:c>
      <x:c r="G235" s="48" t="n">
        <x:v>226.07</x:v>
      </x:c>
      <x:c r="H235" s="49" t="n">
        <x:v>584108.71</x:v>
      </x:c>
      <x:c r="I235" s="49" t="n">
        <x:v>614134.11</x:v>
      </x:c>
      <x:c r="J235" s="48" t="n">
        <x:f>IF(COUNT(B235:C235)&lt;2,"",B235-C235)</x:f>
        <x:v>-47.34000000000003</x:v>
      </x:c>
      <x:c r="K235" s="48" t="n">
        <x:f>IF(COUNT(D235,F235)&lt;2,"",D235-F235)</x:f>
        <x:v>117.21000000000001</x:v>
      </x:c>
      <x:c r="L235" s="48" t="n">
        <x:f>IF(COUNT(E235,G235)&lt;2,"",E235-G235)</x:f>
        <x:v>118.04000000000002</x:v>
      </x:c>
      <x:c r="M235" s="31" t="str">
        <x:v>网站结构化接口</x:v>
      </x:c>
      <x:c r="N235" s="36" t="d">
        <x:v>2026-10-28T14:16:22.777Z</x:v>
      </x:c>
    </x:row>
    <x:row r="236">
      <x:c r="A236" s="36" t="d">
        <x:v>2025-08-23T00:00:00.000Z</x:v>
      </x:c>
      <x:c r="B236" s="48" t="n">
        <x:v>332.15</x:v>
      </x:c>
      <x:c r="C236" s="48" t="n">
        <x:v>275.03</x:v>
      </x:c>
      <x:c r="D236" s="48" t="n">
        <x:v>353.16</x:v>
      </x:c>
      <x:c r="E236" s="48" t="n">
        <x:v>289.29</x:v>
      </x:c>
      <x:c r="F236" s="48" t="n">
        <x:v>185.98</x:v>
      </x:c>
      <x:c r="G236" s="48" t="n">
        <x:v>164.54</x:v>
      </x:c>
      <x:c r="H236" s="49" t="n">
        <x:v>570916.59</x:v>
      </x:c>
      <x:c r="I236" s="49" t="n">
        <x:v>531287.84</x:v>
      </x:c>
      <x:c r="J236" s="48" t="n">
        <x:f>IF(COUNT(B236:C236)&lt;2,"",B236-C236)</x:f>
        <x:v>57.120000000000005</x:v>
      </x:c>
      <x:c r="K236" s="48" t="n">
        <x:f>IF(COUNT(D236,F236)&lt;2,"",D236-F236)</x:f>
        <x:v>167.18000000000004</x:v>
      </x:c>
      <x:c r="L236" s="48" t="n">
        <x:f>IF(COUNT(E236,G236)&lt;2,"",E236-G236)</x:f>
        <x:v>124.75000000000003</x:v>
      </x:c>
      <x:c r="M236" s="31" t="str">
        <x:v>网站结构化接口</x:v>
      </x:c>
      <x:c r="N236" s="36" t="d">
        <x:v>2026-10-28T14:16:22.777Z</x:v>
      </x:c>
    </x:row>
    <x:row r="237">
      <x:c r="A237" s="36" t="d">
        <x:v>2025-08-24T00:00:00.000Z</x:v>
      </x:c>
      <x:c r="B237" s="48" t="n">
        <x:v>333.97</x:v>
      </x:c>
      <x:c r="C237" s="48" t="n">
        <x:v>259.59</x:v>
      </x:c>
      <x:c r="D237" s="48" t="n">
        <x:v>366.85</x:v>
      </x:c>
      <x:c r="E237" s="48" t="n">
        <x:v>286.55</x:v>
      </x:c>
      <x:c r="F237" s="48" t="n">
        <x:v>129.55</x:v>
      </x:c>
      <x:c r="G237" s="48" t="n">
        <x:v>86.33</x:v>
      </x:c>
      <x:c r="H237" s="49" t="n">
        <x:v>514890.54</x:v>
      </x:c>
      <x:c r="I237" s="49" t="n">
        <x:v>485145.55</x:v>
      </x:c>
      <x:c r="J237" s="48" t="n">
        <x:f>IF(COUNT(B237:C237)&lt;2,"",B237-C237)</x:f>
        <x:v>74.38000000000005</x:v>
      </x:c>
      <x:c r="K237" s="48" t="n">
        <x:f>IF(COUNT(D237,F237)&lt;2,"",D237-F237)</x:f>
        <x:v>237.3</x:v>
      </x:c>
      <x:c r="L237" s="48" t="n">
        <x:f>IF(COUNT(E237,G237)&lt;2,"",E237-G237)</x:f>
        <x:v>200.22000000000003</x:v>
      </x:c>
      <x:c r="M237" s="31" t="str">
        <x:v>网站结构化接口</x:v>
      </x:c>
      <x:c r="N237" s="36" t="d">
        <x:v>2026-10-28T14:16:22.777Z</x:v>
      </x:c>
    </x:row>
    <x:row r="238">
      <x:c r="A238" s="36" t="d">
        <x:v>2025-08-25T00:00:00.000Z</x:v>
      </x:c>
      <x:c r="B238" s="48" t="n">
        <x:v>312.58</x:v>
      </x:c>
      <x:c r="C238" s="48" t="n">
        <x:v>301.4</x:v>
      </x:c>
      <x:c r="D238" s="48" t="n">
        <x:v>363.11</x:v>
      </x:c>
      <x:c r="E238" s="48" t="n">
        <x:v>328.48</x:v>
      </x:c>
      <x:c r="F238" s="48" t="n">
        <x:v>110.84</x:v>
      </x:c>
      <x:c r="G238" s="48" t="n">
        <x:v>156.19</x:v>
      </x:c>
      <x:c r="H238" s="49" t="n">
        <x:v>494571.95</x:v>
      </x:c>
      <x:c r="I238" s="49" t="n">
        <x:v>492940.25</x:v>
      </x:c>
      <x:c r="J238" s="48" t="n">
        <x:f>IF(COUNT(B238:C238)&lt;2,"",B238-C238)</x:f>
        <x:v>11.180000000000007</x:v>
      </x:c>
      <x:c r="K238" s="48" t="n">
        <x:f>IF(COUNT(D238,F238)&lt;2,"",D238-F238)</x:f>
        <x:v>252.27</x:v>
      </x:c>
      <x:c r="L238" s="48" t="n">
        <x:f>IF(COUNT(E238,G238)&lt;2,"",E238-G238)</x:f>
        <x:v>172.29000000000002</x:v>
      </x:c>
      <x:c r="M238" s="31" t="str">
        <x:v>网站结构化接口</x:v>
      </x:c>
      <x:c r="N238" s="36" t="d">
        <x:v>2026-10-28T14:16:22.777Z</x:v>
      </x:c>
    </x:row>
    <x:row r="239">
      <x:c r="A239" s="36" t="d">
        <x:v>2025-08-26T00:00:00.000Z</x:v>
      </x:c>
      <x:c r="B239" s="48" t="n">
        <x:v>241.88</x:v>
      </x:c>
      <x:c r="C239" s="48" t="n">
        <x:v>224.68</x:v>
      </x:c>
      <x:c r="D239" s="48" t="n">
        <x:v>285.42</x:v>
      </x:c>
      <x:c r="E239" s="48" t="n">
        <x:v>244.11</x:v>
      </x:c>
      <x:c r="F239" s="48" t="n">
        <x:v>119.61</x:v>
      </x:c>
      <x:c r="G239" s="48" t="n">
        <x:v>165.81</x:v>
      </x:c>
      <x:c r="H239" s="49" t="n">
        <x:v>523842.63</x:v>
      </x:c>
      <x:c r="I239" s="49" t="n">
        <x:v>509278.89</x:v>
      </x:c>
      <x:c r="J239" s="48" t="n">
        <x:f>IF(COUNT(B239:C239)&lt;2,"",B239-C239)</x:f>
        <x:v>17.19999999999999</x:v>
      </x:c>
      <x:c r="K239" s="48" t="n">
        <x:f>IF(COUNT(D239,F239)&lt;2,"",D239-F239)</x:f>
        <x:v>165.81</x:v>
      </x:c>
      <x:c r="L239" s="48" t="n">
        <x:f>IF(COUNT(E239,G239)&lt;2,"",E239-G239)</x:f>
        <x:v>78.30000000000001</x:v>
      </x:c>
      <x:c r="M239" s="31" t="str">
        <x:v>网站结构化接口</x:v>
      </x:c>
      <x:c r="N239" s="36" t="d">
        <x:v>2026-10-28T14:16:22.777Z</x:v>
      </x:c>
    </x:row>
    <x:row r="240">
      <x:c r="A240" s="36" t="d">
        <x:v>2025-08-27T00:00:00.000Z</x:v>
      </x:c>
      <x:c r="B240" s="48" t="n">
        <x:v>353.67</x:v>
      </x:c>
      <x:c r="C240" s="48" t="n">
        <x:v>252.14</x:v>
      </x:c>
      <x:c r="D240" s="48" t="n">
        <x:v>380.78</x:v>
      </x:c>
      <x:c r="E240" s="48" t="n">
        <x:v>267.03</x:v>
      </x:c>
      <x:c r="F240" s="48" t="n">
        <x:v>240.37</x:v>
      </x:c>
      <x:c r="G240" s="48" t="n">
        <x:v>194.36</x:v>
      </x:c>
      <x:c r="H240" s="49" t="n">
        <x:v>550549.81</x:v>
      </x:c>
      <x:c r="I240" s="49" t="n">
        <x:v>511922.84</x:v>
      </x:c>
      <x:c r="J240" s="48" t="n">
        <x:f>IF(COUNT(B240:C240)&lt;2,"",B240-C240)</x:f>
        <x:v>101.53000000000003</x:v>
      </x:c>
      <x:c r="K240" s="48" t="n">
        <x:f>IF(COUNT(D240,F240)&lt;2,"",D240-F240)</x:f>
        <x:v>140.40999999999997</x:v>
      </x:c>
      <x:c r="L240" s="48" t="n">
        <x:f>IF(COUNT(E240,G240)&lt;2,"",E240-G240)</x:f>
        <x:v>72.66999999999996</x:v>
      </x:c>
      <x:c r="M240" s="31" t="str">
        <x:v>网站结构化接口</x:v>
      </x:c>
      <x:c r="N240" s="36" t="d">
        <x:v>2026-10-28T14:16:22.777Z</x:v>
      </x:c>
    </x:row>
    <x:row r="241">
      <x:c r="A241" s="36" t="d">
        <x:v>2025-08-28T00:00:00.000Z</x:v>
      </x:c>
      <x:c r="B241" s="48" t="n">
        <x:v>271.85</x:v>
      </x:c>
      <x:c r="C241" s="48" t="n">
        <x:v>293.52</x:v>
      </x:c>
      <x:c r="D241" s="48" t="n">
        <x:v>279.48</x:v>
      </x:c>
      <x:c r="E241" s="48" t="n">
        <x:v>293.85</x:v>
      </x:c>
      <x:c r="F241" s="48" t="n">
        <x:v>218.25</x:v>
      </x:c>
      <x:c r="G241" s="48" t="n">
        <x:v>290.96</x:v>
      </x:c>
      <x:c r="H241" s="49" t="n">
        <x:v>532373.61</x:v>
      </x:c>
      <x:c r="I241" s="49" t="n">
        <x:v>527697.52</x:v>
      </x:c>
      <x:c r="J241" s="48" t="n">
        <x:f>IF(COUNT(B241:C241)&lt;2,"",B241-C241)</x:f>
        <x:v>-21.66999999999996</x:v>
      </x:c>
      <x:c r="K241" s="48" t="n">
        <x:f>IF(COUNT(D241,F241)&lt;2,"",D241-F241)</x:f>
        <x:v>61.23000000000002</x:v>
      </x:c>
      <x:c r="L241" s="48" t="n">
        <x:f>IF(COUNT(E241,G241)&lt;2,"",E241-G241)</x:f>
        <x:v>2.890000000000043</x:v>
      </x:c>
      <x:c r="M241" s="31" t="str">
        <x:v>网站结构化接口</x:v>
      </x:c>
      <x:c r="N241" s="36" t="d">
        <x:v>2026-10-28T14:16:22.777Z</x:v>
      </x:c>
    </x:row>
    <x:row r="242">
      <x:c r="A242" s="36" t="d">
        <x:v>2025-08-29T00:00:00.000Z</x:v>
      </x:c>
      <x:c r="B242" s="48" t="n">
        <x:v>203.52</x:v>
      </x:c>
      <x:c r="C242" s="48" t="n">
        <x:v>157.15</x:v>
      </x:c>
      <x:c r="D242" s="48" t="n">
        <x:v>219.31</x:v>
      </x:c>
      <x:c r="E242" s="48" t="n">
        <x:v>166.74</x:v>
      </x:c>
      <x:c r="F242" s="48" t="n">
        <x:v>118.17</x:v>
      </x:c>
      <x:c r="G242" s="48" t="n">
        <x:v>105.11</x:v>
      </x:c>
      <x:c r="H242" s="49" t="n">
        <x:v>471189.84</x:v>
      </x:c>
      <x:c r="I242" s="49" t="n">
        <x:v>451374.59</x:v>
      </x:c>
      <x:c r="J242" s="48" t="n">
        <x:f>IF(COUNT(B242:C242)&lt;2,"",B242-C242)</x:f>
        <x:v>46.370000000000005</x:v>
      </x:c>
      <x:c r="K242" s="48" t="n">
        <x:f>IF(COUNT(D242,F242)&lt;2,"",D242-F242)</x:f>
        <x:v>101.14</x:v>
      </x:c>
      <x:c r="L242" s="48" t="n">
        <x:f>IF(COUNT(E242,G242)&lt;2,"",E242-G242)</x:f>
        <x:v>61.63000000000001</x:v>
      </x:c>
      <x:c r="M242" s="31" t="str">
        <x:v>网站结构化接口</x:v>
      </x:c>
      <x:c r="N242" s="36" t="d">
        <x:v>2026-10-28T14:16:22.777Z</x:v>
      </x:c>
    </x:row>
    <x:row r="243">
      <x:c r="A243" s="36" t="d">
        <x:v>2025-08-30T00:00:00.000Z</x:v>
      </x:c>
      <x:c r="B243" s="48" t="n">
        <x:v>231.51</x:v>
      </x:c>
      <x:c r="C243" s="48" t="n">
        <x:v>230.83</x:v>
      </x:c>
      <x:c r="D243" s="48" t="n">
        <x:v>257.47</x:v>
      </x:c>
      <x:c r="E243" s="48" t="n">
        <x:v>249.87</x:v>
      </x:c>
      <x:c r="F243" s="48" t="n">
        <x:v>99.64</x:v>
      </x:c>
      <x:c r="G243" s="48" t="n">
        <x:v>120.54</x:v>
      </x:c>
      <x:c r="H243" s="49" t="n">
        <x:v>441182.32</x:v>
      </x:c>
      <x:c r="I243" s="49" t="n">
        <x:v>457024.57</x:v>
      </x:c>
      <x:c r="J243" s="48" t="n">
        <x:f>IF(COUNT(B243:C243)&lt;2,"",B243-C243)</x:f>
        <x:v>0.6799999999999784</x:v>
      </x:c>
      <x:c r="K243" s="48" t="n">
        <x:f>IF(COUNT(D243,F243)&lt;2,"",D243-F243)</x:f>
        <x:v>157.83000000000004</x:v>
      </x:c>
      <x:c r="L243" s="48" t="n">
        <x:f>IF(COUNT(E243,G243)&lt;2,"",E243-G243)</x:f>
        <x:v>129.32999999999998</x:v>
      </x:c>
      <x:c r="M243" s="31" t="str">
        <x:v>网站结构化接口</x:v>
      </x:c>
      <x:c r="N243" s="36" t="d">
        <x:v>2026-10-28T14:16:22.777Z</x:v>
      </x:c>
    </x:row>
    <x:row r="244">
      <x:c r="A244" s="36" t="d">
        <x:v>2025-08-31T00:00:00.000Z</x:v>
      </x:c>
      <x:c r="B244" s="48" t="n">
        <x:v>238.41</x:v>
      </x:c>
      <x:c r="C244" s="48" t="n">
        <x:v>218.75</x:v>
      </x:c>
      <x:c r="D244" s="48" t="n">
        <x:v>270.11</x:v>
      </x:c>
      <x:c r="E244" s="48" t="n">
        <x:v>246.56</x:v>
      </x:c>
      <x:c r="F244" s="48" t="n">
        <x:v>113.85</x:v>
      </x:c>
      <x:c r="G244" s="48" t="n">
        <x:v>105.88</x:v>
      </x:c>
      <x:c r="H244" s="49" t="n">
        <x:v>432444.33</x:v>
      </x:c>
      <x:c r="I244" s="49" t="n">
        <x:v>422367.71</x:v>
      </x:c>
      <x:c r="J244" s="48" t="n">
        <x:f>IF(COUNT(B244:C244)&lt;2,"",B244-C244)</x:f>
        <x:v>19.659999999999997</x:v>
      </x:c>
      <x:c r="K244" s="48" t="n">
        <x:f>IF(COUNT(D244,F244)&lt;2,"",D244-F244)</x:f>
        <x:v>156.26000000000002</x:v>
      </x:c>
      <x:c r="L244" s="48" t="n">
        <x:f>IF(COUNT(E244,G244)&lt;2,"",E244-G244)</x:f>
        <x:v>140.68</x:v>
      </x:c>
      <x:c r="M244" s="31" t="str">
        <x:v>网站结构化接口</x:v>
      </x:c>
      <x:c r="N244" s="36" t="d">
        <x:v>2026-10-28T14:16:22.777Z</x:v>
      </x:c>
    </x:row>
    <x:row r="245">
      <x:c r="A245" s="36" t="d">
        <x:v>2025-09-01T00:00:00.000Z</x:v>
      </x:c>
      <x:c r="B245" s="48" t="n">
        <x:v>194.44</x:v>
      </x:c>
      <x:c r="C245" s="48" t="n">
        <x:v>168.54</x:v>
      </x:c>
      <x:c r="D245" s="48" t="n">
        <x:v>223.47</x:v>
      </x:c>
      <x:c r="E245" s="48" t="n">
        <x:v>192.39</x:v>
      </x:c>
      <x:c r="F245" s="48" t="n">
        <x:v>141.49</x:v>
      </x:c>
      <x:c r="G245" s="48" t="n">
        <x:v>126.52</x:v>
      </x:c>
      <x:c r="H245" s="49" t="n">
        <x:v>401643.06</x:v>
      </x:c>
      <x:c r="I245" s="49" t="n">
        <x:v>383789.05</x:v>
      </x:c>
      <x:c r="J245" s="48" t="n">
        <x:f>IF(COUNT(B245:C245)&lt;2,"",B245-C245)</x:f>
        <x:v>25.900000000000006</x:v>
      </x:c>
      <x:c r="K245" s="48" t="n">
        <x:f>IF(COUNT(D245,F245)&lt;2,"",D245-F245)</x:f>
        <x:v>81.97999999999999</x:v>
      </x:c>
      <x:c r="L245" s="48" t="n">
        <x:f>IF(COUNT(E245,G245)&lt;2,"",E245-G245)</x:f>
        <x:v>65.86999999999999</x:v>
      </x:c>
      <x:c r="M245" s="31" t="str">
        <x:v>网站结构化接口</x:v>
      </x:c>
      <x:c r="N245" s="36" t="d">
        <x:v>2026-10-28T14:16:22.777Z</x:v>
      </x:c>
    </x:row>
    <x:row r="246">
      <x:c r="A246" s="36" t="d">
        <x:v>2025-09-02T00:00:00.000Z</x:v>
      </x:c>
      <x:c r="B246" s="48" t="n">
        <x:v>255.42</x:v>
      </x:c>
      <x:c r="C246" s="48" t="n">
        <x:v>488.39</x:v>
      </x:c>
      <x:c r="D246" s="48" t="n">
        <x:v>284.08</x:v>
      </x:c>
      <x:c r="E246" s="48" t="n">
        <x:v>527.11</x:v>
      </x:c>
      <x:c r="F246" s="48" t="n">
        <x:v>174.17</x:v>
      </x:c>
      <x:c r="G246" s="48" t="n">
        <x:v>344.03</x:v>
      </x:c>
      <x:c r="H246" s="49" t="n">
        <x:v>379549.4</x:v>
      </x:c>
      <x:c r="I246" s="49" t="n">
        <x:v>395720.04</x:v>
      </x:c>
      <x:c r="J246" s="48" t="n">
        <x:f>IF(COUNT(B246:C246)&lt;2,"",B246-C246)</x:f>
        <x:v>-232.97</x:v>
      </x:c>
      <x:c r="K246" s="48" t="n">
        <x:f>IF(COUNT(D246,F246)&lt;2,"",D246-F246)</x:f>
        <x:v>109.91</x:v>
      </x:c>
      <x:c r="L246" s="48" t="n">
        <x:f>IF(COUNT(E246,G246)&lt;2,"",E246-G246)</x:f>
        <x:v>183.08000000000004</x:v>
      </x:c>
      <x:c r="M246" s="31" t="str">
        <x:v>网站结构化接口</x:v>
      </x:c>
      <x:c r="N246" s="36" t="d">
        <x:v>2026-10-28T14:16:22.777Z</x:v>
      </x:c>
    </x:row>
    <x:row r="247">
      <x:c r="A247" s="36" t="d">
        <x:v>2025-09-03T00:00:00.000Z</x:v>
      </x:c>
      <x:c r="B247" s="48" t="n">
        <x:v>191.06</x:v>
      </x:c>
      <x:c r="C247" s="48" t="n">
        <x:v>242.75</x:v>
      </x:c>
      <x:c r="D247" s="48" t="n">
        <x:v>214.51</x:v>
      </x:c>
      <x:c r="E247" s="48" t="n">
        <x:v>254.82</x:v>
      </x:c>
      <x:c r="F247" s="48" t="n">
        <x:v>107.08</x:v>
      </x:c>
      <x:c r="G247" s="48" t="n">
        <x:v>177.64</x:v>
      </x:c>
      <x:c r="H247" s="49" t="n">
        <x:v>363959.29</x:v>
      </x:c>
      <x:c r="I247" s="49" t="n">
        <x:v>383095.2</x:v>
      </x:c>
      <x:c r="J247" s="48" t="n">
        <x:f>IF(COUNT(B247:C247)&lt;2,"",B247-C247)</x:f>
        <x:v>-51.69</x:v>
      </x:c>
      <x:c r="K247" s="48" t="n">
        <x:f>IF(COUNT(D247,F247)&lt;2,"",D247-F247)</x:f>
        <x:v>107.42999999999999</x:v>
      </x:c>
      <x:c r="L247" s="48" t="n">
        <x:f>IF(COUNT(E247,G247)&lt;2,"",E247-G247)</x:f>
        <x:v>77.18</x:v>
      </x:c>
      <x:c r="M247" s="31" t="str">
        <x:v>网站结构化接口</x:v>
      </x:c>
      <x:c r="N247" s="36" t="d">
        <x:v>2026-10-28T14:16:22.777Z</x:v>
      </x:c>
    </x:row>
    <x:row r="248">
      <x:c r="A248" s="36" t="d">
        <x:v>2025-09-04T00:00:00.000Z</x:v>
      </x:c>
      <x:c r="B248" s="48" t="n">
        <x:v>237.85</x:v>
      </x:c>
      <x:c r="C248" s="48" t="n">
        <x:v>375.11</x:v>
      </x:c>
      <x:c r="D248" s="48" t="n">
        <x:v>248.69</x:v>
      </x:c>
      <x:c r="E248" s="48" t="n">
        <x:v>376.13</x:v>
      </x:c>
      <x:c r="F248" s="48" t="n">
        <x:v>204.75</x:v>
      </x:c>
      <x:c r="G248" s="48" t="n">
        <x:v>369.99</x:v>
      </x:c>
      <x:c r="H248" s="49" t="n">
        <x:v>370063.23</x:v>
      </x:c>
      <x:c r="I248" s="49" t="n">
        <x:v>389519.89</x:v>
      </x:c>
      <x:c r="J248" s="48" t="n">
        <x:f>IF(COUNT(B248:C248)&lt;2,"",B248-C248)</x:f>
        <x:v>-137.26000000000002</x:v>
      </x:c>
      <x:c r="K248" s="48" t="n">
        <x:f>IF(COUNT(D248,F248)&lt;2,"",D248-F248)</x:f>
        <x:v>43.94</x:v>
      </x:c>
      <x:c r="L248" s="48" t="n">
        <x:f>IF(COUNT(E248,G248)&lt;2,"",E248-G248)</x:f>
        <x:v>6.139999999999986</x:v>
      </x:c>
      <x:c r="M248" s="31" t="str">
        <x:v>网站结构化接口</x:v>
      </x:c>
      <x:c r="N248" s="36" t="d">
        <x:v>2026-10-28T14:16:22.777Z</x:v>
      </x:c>
    </x:row>
    <x:row r="249">
      <x:c r="A249" s="36" t="d">
        <x:v>2025-09-05T00:00:00.000Z</x:v>
      </x:c>
      <x:c r="B249" s="48" t="n">
        <x:v>195.49</x:v>
      </x:c>
      <x:c r="C249" s="48" t="n">
        <x:v>219.17</x:v>
      </x:c>
      <x:c r="D249" s="48" t="n">
        <x:v>221.58</x:v>
      </x:c>
      <x:c r="E249" s="48" t="n">
        <x:v>241.24</x:v>
      </x:c>
      <x:c r="F249" s="48" t="n">
        <x:v>133.71</x:v>
      </x:c>
      <x:c r="G249" s="48" t="n">
        <x:v>159.66</x:v>
      </x:c>
      <x:c r="H249" s="49" t="n">
        <x:v>366838.96</x:v>
      </x:c>
      <x:c r="I249" s="49" t="n">
        <x:v>352659.45</x:v>
      </x:c>
      <x:c r="J249" s="48" t="n">
        <x:f>IF(COUNT(B249:C249)&lt;2,"",B249-C249)</x:f>
        <x:v>-23.67999999999998</x:v>
      </x:c>
      <x:c r="K249" s="48" t="n">
        <x:f>IF(COUNT(D249,F249)&lt;2,"",D249-F249)</x:f>
        <x:v>87.87</x:v>
      </x:c>
      <x:c r="L249" s="48" t="n">
        <x:f>IF(COUNT(E249,G249)&lt;2,"",E249-G249)</x:f>
        <x:v>81.58000000000001</x:v>
      </x:c>
      <x:c r="M249" s="31" t="str">
        <x:v>网站结构化接口</x:v>
      </x:c>
      <x:c r="N249" s="36" t="d">
        <x:v>2026-10-28T14:16:22.777Z</x:v>
      </x:c>
    </x:row>
    <x:row r="250">
      <x:c r="A250" s="36" t="d">
        <x:v>2025-09-06T00:00:00.000Z</x:v>
      </x:c>
      <x:c r="B250" s="48" t="n">
        <x:v>105.63</x:v>
      </x:c>
      <x:c r="C250" s="48" t="n">
        <x:v>106.95</x:v>
      </x:c>
      <x:c r="D250" s="48" t="n">
        <x:v>119.97</x:v>
      </x:c>
      <x:c r="E250" s="48" t="n">
        <x:v>126.81</x:v>
      </x:c>
      <x:c r="F250" s="48" t="n">
        <x:v>71.27</x:v>
      </x:c>
      <x:c r="G250" s="48" t="n">
        <x:v>57.82</x:v>
      </x:c>
      <x:c r="H250" s="49" t="n">
        <x:v>304392.64</x:v>
      </x:c>
      <x:c r="I250" s="49" t="n">
        <x:v>302365.66</x:v>
      </x:c>
      <x:c r="J250" s="48" t="n">
        <x:f>IF(COUNT(B250:C250)&lt;2,"",B250-C250)</x:f>
        <x:v>-1.3200000000000074</x:v>
      </x:c>
      <x:c r="K250" s="48" t="n">
        <x:f>IF(COUNT(D250,F250)&lt;2,"",D250-F250)</x:f>
        <x:v>48.7</x:v>
      </x:c>
      <x:c r="L250" s="48" t="n">
        <x:f>IF(COUNT(E250,G250)&lt;2,"",E250-G250)</x:f>
        <x:v>68.99000000000001</x:v>
      </x:c>
      <x:c r="M250" s="31" t="str">
        <x:v>网站结构化接口</x:v>
      </x:c>
      <x:c r="N250" s="36" t="d">
        <x:v>2026-10-28T14:16:22.777Z</x:v>
      </x:c>
    </x:row>
    <x:row r="251">
      <x:c r="A251" s="36" t="d">
        <x:v>2025-09-07T00:00:00.000Z</x:v>
      </x:c>
      <x:c r="B251" s="48" t="n">
        <x:v>221.55</x:v>
      </x:c>
      <x:c r="C251" s="48" t="n">
        <x:v>210.97</x:v>
      </x:c>
      <x:c r="D251" s="48" t="n">
        <x:v>279.4</x:v>
      </x:c>
      <x:c r="E251" s="48" t="n">
        <x:v>252.76</x:v>
      </x:c>
      <x:c r="F251" s="48" t="n">
        <x:v>84.62</x:v>
      </x:c>
      <x:c r="G251" s="48" t="n">
        <x:v>101.66</x:v>
      </x:c>
      <x:c r="H251" s="49" t="n">
        <x:v>307636.84</x:v>
      </x:c>
      <x:c r="I251" s="49" t="n">
        <x:v>311010.97</x:v>
      </x:c>
      <x:c r="J251" s="48" t="n">
        <x:f>IF(COUNT(B251:C251)&lt;2,"",B251-C251)</x:f>
        <x:v>10.580000000000013</x:v>
      </x:c>
      <x:c r="K251" s="48" t="n">
        <x:f>IF(COUNT(D251,F251)&lt;2,"",D251-F251)</x:f>
        <x:v>194.77999999999997</x:v>
      </x:c>
      <x:c r="L251" s="48" t="n">
        <x:f>IF(COUNT(E251,G251)&lt;2,"",E251-G251)</x:f>
        <x:v>151.1</x:v>
      </x:c>
      <x:c r="M251" s="31" t="str">
        <x:v>网站结构化接口</x:v>
      </x:c>
      <x:c r="N251" s="36" t="d">
        <x:v>2026-10-28T14:16:22.777Z</x:v>
      </x:c>
    </x:row>
    <x:row r="252">
      <x:c r="A252" s="36" t="d">
        <x:v>2025-09-08T00:00:00.000Z</x:v>
      </x:c>
      <x:c r="B252" s="48" t="n">
        <x:v>212.82</x:v>
      </x:c>
      <x:c r="C252" s="48" t="n">
        <x:v>137.24</x:v>
      </x:c>
      <x:c r="D252" s="48" t="n">
        <x:v>251.59</x:v>
      </x:c>
      <x:c r="E252" s="48" t="n">
        <x:v>155.71</x:v>
      </x:c>
      <x:c r="F252" s="48" t="n">
        <x:v>124.37</x:v>
      </x:c>
      <x:c r="G252" s="48" t="n">
        <x:v>103.48</x:v>
      </x:c>
      <x:c r="H252" s="49" t="n">
        <x:v>306105.84</x:v>
      </x:c>
      <x:c r="I252" s="49" t="n">
        <x:v>293513.01</x:v>
      </x:c>
      <x:c r="J252" s="48" t="n">
        <x:f>IF(COUNT(B252:C252)&lt;2,"",B252-C252)</x:f>
        <x:v>75.57999999999998</x:v>
      </x:c>
      <x:c r="K252" s="48" t="n">
        <x:f>IF(COUNT(D252,F252)&lt;2,"",D252-F252)</x:f>
        <x:v>127.22</x:v>
      </x:c>
      <x:c r="L252" s="48" t="n">
        <x:f>IF(COUNT(E252,G252)&lt;2,"",E252-G252)</x:f>
        <x:v>52.230000000000004</x:v>
      </x:c>
      <x:c r="M252" s="31" t="str">
        <x:v>网站结构化接口</x:v>
      </x:c>
      <x:c r="N252" s="36" t="d">
        <x:v>2026-10-28T14:16:22.777Z</x:v>
      </x:c>
    </x:row>
    <x:row r="253">
      <x:c r="A253" s="36" t="d">
        <x:v>2025-09-09T00:00:00.000Z</x:v>
      </x:c>
      <x:c r="B253" s="48" t="n">
        <x:v>81.62</x:v>
      </x:c>
      <x:c r="C253" s="48" t="n">
        <x:v>115.14</x:v>
      </x:c>
      <x:c r="D253" s="48" t="n">
        <x:v>96.59</x:v>
      </x:c>
      <x:c r="E253" s="48" t="n">
        <x:v>146.74</x:v>
      </x:c>
      <x:c r="F253" s="48" t="n">
        <x:v>62.18</x:v>
      </x:c>
      <x:c r="G253" s="48" t="n">
        <x:v>75.95</x:v>
      </x:c>
      <x:c r="H253" s="49" t="n">
        <x:v>311512.01</x:v>
      </x:c>
      <x:c r="I253" s="49" t="n">
        <x:v>298591.93</x:v>
      </x:c>
      <x:c r="J253" s="48" t="n">
        <x:f>IF(COUNT(B253:C253)&lt;2,"",B253-C253)</x:f>
        <x:v>-33.519999999999996</x:v>
      </x:c>
      <x:c r="K253" s="48" t="n">
        <x:f>IF(COUNT(D253,F253)&lt;2,"",D253-F253)</x:f>
        <x:v>34.410000000000004</x:v>
      </x:c>
      <x:c r="L253" s="48" t="n">
        <x:f>IF(COUNT(E253,G253)&lt;2,"",E253-G253)</x:f>
        <x:v>70.79</x:v>
      </x:c>
      <x:c r="M253" s="31" t="str">
        <x:v>网站结构化接口</x:v>
      </x:c>
      <x:c r="N253" s="36" t="d">
        <x:v>2026-10-28T14:16:22.777Z</x:v>
      </x:c>
    </x:row>
    <x:row r="254">
      <x:c r="A254" s="36" t="d">
        <x:v>2025-09-10T00:00:00.000Z</x:v>
      </x:c>
      <x:c r="B254" s="48" t="n">
        <x:v>125.3</x:v>
      </x:c>
      <x:c r="C254" s="48" t="n">
        <x:v>265.95</x:v>
      </x:c>
      <x:c r="D254" s="48" t="n">
        <x:v>165.72</x:v>
      </x:c>
      <x:c r="E254" s="48" t="n">
        <x:v>330.47</x:v>
      </x:c>
      <x:c r="F254" s="48" t="n">
        <x:v>72.8</x:v>
      </x:c>
      <x:c r="G254" s="48" t="n">
        <x:v>154.69</x:v>
      </x:c>
      <x:c r="H254" s="49" t="n">
        <x:v>311180.52</x:v>
      </x:c>
      <x:c r="I254" s="49" t="n">
        <x:v>320483.12</x:v>
      </x:c>
      <x:c r="J254" s="48" t="n">
        <x:f>IF(COUNT(B254:C254)&lt;2,"",B254-C254)</x:f>
        <x:v>-140.64999999999998</x:v>
      </x:c>
      <x:c r="K254" s="48" t="n">
        <x:f>IF(COUNT(D254,F254)&lt;2,"",D254-F254)</x:f>
        <x:v>92.92</x:v>
      </x:c>
      <x:c r="L254" s="48" t="n">
        <x:f>IF(COUNT(E254,G254)&lt;2,"",E254-G254)</x:f>
        <x:v>175.78000000000003</x:v>
      </x:c>
      <x:c r="M254" s="31" t="str">
        <x:v>网站结构化接口</x:v>
      </x:c>
      <x:c r="N254" s="36" t="d">
        <x:v>2026-10-28T14:16:22.777Z</x:v>
      </x:c>
    </x:row>
    <x:row r="255">
      <x:c r="A255" s="36" t="d">
        <x:v>2025-09-11T00:00:00.000Z</x:v>
      </x:c>
      <x:c r="B255" s="48" t="n">
        <x:v>376.26</x:v>
      </x:c>
      <x:c r="C255" s="48" t="n">
        <x:v>400.96</x:v>
      </x:c>
      <x:c r="D255" s="48" t="n">
        <x:v>401.57</x:v>
      </x:c>
      <x:c r="E255" s="48" t="n">
        <x:v>421.08</x:v>
      </x:c>
      <x:c r="F255" s="48" t="n">
        <x:v>305.48</x:v>
      </x:c>
      <x:c r="G255" s="48" t="n">
        <x:v>337.63</x:v>
      </x:c>
      <x:c r="H255" s="49" t="n">
        <x:v>356122.08</x:v>
      </x:c>
      <x:c r="I255" s="49" t="n">
        <x:v>358459.03</x:v>
      </x:c>
      <x:c r="J255" s="48" t="n">
        <x:f>IF(COUNT(B255:C255)&lt;2,"",B255-C255)</x:f>
        <x:v>-24.69999999999999</x:v>
      </x:c>
      <x:c r="K255" s="48" t="n">
        <x:f>IF(COUNT(D255,F255)&lt;2,"",D255-F255)</x:f>
        <x:v>96.08999999999997</x:v>
      </x:c>
      <x:c r="L255" s="48" t="n">
        <x:f>IF(COUNT(E255,G255)&lt;2,"",E255-G255)</x:f>
        <x:v>83.44999999999999</x:v>
      </x:c>
      <x:c r="M255" s="31" t="str">
        <x:v>网站结构化接口</x:v>
      </x:c>
      <x:c r="N255" s="36" t="d">
        <x:v>2026-10-28T14:16:22.777Z</x:v>
      </x:c>
    </x:row>
    <x:row r="256">
      <x:c r="A256" s="36" t="d">
        <x:v>2025-09-12T00:00:00.000Z</x:v>
      </x:c>
      <x:c r="B256" s="48" t="n">
        <x:v>125.58</x:v>
      </x:c>
      <x:c r="C256" s="48" t="n">
        <x:v>111.97</x:v>
      </x:c>
      <x:c r="D256" s="48" t="n">
        <x:v>142.53</x:v>
      </x:c>
      <x:c r="E256" s="48" t="n">
        <x:v>124.25</x:v>
      </x:c>
      <x:c r="F256" s="48" t="n">
        <x:v>83.24</x:v>
      </x:c>
      <x:c r="G256" s="48" t="n">
        <x:v>73.06</x:v>
      </x:c>
      <x:c r="H256" s="49" t="n">
        <x:v>330399.38</x:v>
      </x:c>
      <x:c r="I256" s="49" t="n">
        <x:v>333259.69</x:v>
      </x:c>
      <x:c r="J256" s="48" t="n">
        <x:f>IF(COUNT(B256:C256)&lt;2,"",B256-C256)</x:f>
        <x:v>13.61</x:v>
      </x:c>
      <x:c r="K256" s="48" t="n">
        <x:f>IF(COUNT(D256,F256)&lt;2,"",D256-F256)</x:f>
        <x:v>59.290000000000006</x:v>
      </x:c>
      <x:c r="L256" s="48" t="n">
        <x:f>IF(COUNT(E256,G256)&lt;2,"",E256-G256)</x:f>
        <x:v>51.19</x:v>
      </x:c>
      <x:c r="M256" s="31" t="str">
        <x:v>网站结构化接口</x:v>
      </x:c>
      <x:c r="N256" s="36" t="d">
        <x:v>2026-10-28T14:16:22.777Z</x:v>
      </x:c>
    </x:row>
    <x:row r="257">
      <x:c r="A257" s="36" t="d">
        <x:v>2025-09-13T00:00:00.000Z</x:v>
      </x:c>
      <x:c r="B257" s="48" t="n">
        <x:v>105.55</x:v>
      </x:c>
      <x:c r="C257" s="48" t="n">
        <x:v>101.49</x:v>
      </x:c>
      <x:c r="D257" s="48" t="n">
        <x:v>128.64</x:v>
      </x:c>
      <x:c r="E257" s="48" t="n">
        <x:v>116.72</x:v>
      </x:c>
      <x:c r="F257" s="48" t="n">
        <x:v>58.4</x:v>
      </x:c>
      <x:c r="G257" s="48" t="n">
        <x:v>66.61</x:v>
      </x:c>
      <x:c r="H257" s="49" t="n">
        <x:v>313484.88</x:v>
      </x:c>
      <x:c r="I257" s="49" t="n">
        <x:v>316477.88</x:v>
      </x:c>
      <x:c r="J257" s="48" t="n">
        <x:f>IF(COUNT(B257:C257)&lt;2,"",B257-C257)</x:f>
        <x:v>4.060000000000002</x:v>
      </x:c>
      <x:c r="K257" s="48" t="n">
        <x:f>IF(COUNT(D257,F257)&lt;2,"",D257-F257)</x:f>
        <x:v>70.23999999999998</x:v>
      </x:c>
      <x:c r="L257" s="48" t="n">
        <x:f>IF(COUNT(E257,G257)&lt;2,"",E257-G257)</x:f>
        <x:v>50.11</x:v>
      </x:c>
      <x:c r="M257" s="31" t="str">
        <x:v>网站结构化接口</x:v>
      </x:c>
      <x:c r="N257" s="36" t="d">
        <x:v>2026-10-28T14:16:22.777Z</x:v>
      </x:c>
    </x:row>
    <x:row r="258">
      <x:c r="A258" s="36" t="d">
        <x:v>2025-09-14T00:00:00.000Z</x:v>
      </x:c>
      <x:c r="B258" s="48" t="n">
        <x:v>126.16</x:v>
      </x:c>
      <x:c r="C258" s="48" t="n">
        <x:v>167.86</x:v>
      </x:c>
      <x:c r="D258" s="48" t="n">
        <x:v>146.86</x:v>
      </x:c>
      <x:c r="E258" s="48" t="n">
        <x:v>194.36</x:v>
      </x:c>
      <x:c r="F258" s="48" t="n">
        <x:v>78.54</x:v>
      </x:c>
      <x:c r="G258" s="48" t="n">
        <x:v>108.98</x:v>
      </x:c>
      <x:c r="H258" s="49" t="n">
        <x:v>330619.22</x:v>
      </x:c>
      <x:c r="I258" s="49" t="n">
        <x:v>328915.55</x:v>
      </x:c>
      <x:c r="J258" s="48" t="n">
        <x:f>IF(COUNT(B258:C258)&lt;2,"",B258-C258)</x:f>
        <x:v>-41.70000000000002</x:v>
      </x:c>
      <x:c r="K258" s="48" t="n">
        <x:f>IF(COUNT(D258,F258)&lt;2,"",D258-F258)</x:f>
        <x:v>68.32000000000001</x:v>
      </x:c>
      <x:c r="L258" s="48" t="n">
        <x:f>IF(COUNT(E258,G258)&lt;2,"",E258-G258)</x:f>
        <x:v>85.38000000000001</x:v>
      </x:c>
      <x:c r="M258" s="31" t="str">
        <x:v>网站结构化接口</x:v>
      </x:c>
      <x:c r="N258" s="36" t="d">
        <x:v>2026-10-28T14:16:22.777Z</x:v>
      </x:c>
    </x:row>
    <x:row r="259">
      <x:c r="A259" s="36" t="d">
        <x:v>2025-09-15T00:00:00.000Z</x:v>
      </x:c>
      <x:c r="B259" s="48" t="n">
        <x:v>235.41</x:v>
      </x:c>
      <x:c r="C259" s="48" t="n">
        <x:v>215.98</x:v>
      </x:c>
      <x:c r="D259" s="48" t="n">
        <x:v>307.24</x:v>
      </x:c>
      <x:c r="E259" s="48" t="n">
        <x:v>262.22</x:v>
      </x:c>
      <x:c r="F259" s="48" t="n">
        <x:v>100.48</x:v>
      </x:c>
      <x:c r="G259" s="48" t="n">
        <x:v>117.54</x:v>
      </x:c>
      <x:c r="H259" s="49" t="n">
        <x:v>332648.35</x:v>
      </x:c>
      <x:c r="I259" s="49" t="n">
        <x:v>347144.96</x:v>
      </x:c>
      <x:c r="J259" s="48" t="n">
        <x:f>IF(COUNT(B259:C259)&lt;2,"",B259-C259)</x:f>
        <x:v>19.430000000000007</x:v>
      </x:c>
      <x:c r="K259" s="48" t="n">
        <x:f>IF(COUNT(D259,F259)&lt;2,"",D259-F259)</x:f>
        <x:v>206.76</x:v>
      </x:c>
      <x:c r="L259" s="48" t="n">
        <x:f>IF(COUNT(E259,G259)&lt;2,"",E259-G259)</x:f>
        <x:v>144.68</x:v>
      </x:c>
      <x:c r="M259" s="31" t="str">
        <x:v>网站结构化接口</x:v>
      </x:c>
      <x:c r="N259" s="36" t="d">
        <x:v>2026-10-28T14:16:22.777Z</x:v>
      </x:c>
    </x:row>
    <x:row r="260">
      <x:c r="A260" s="36" t="d">
        <x:v>2025-09-16T00:00:00.000Z</x:v>
      </x:c>
      <x:c r="B260" s="48" t="n">
        <x:v>143.09</x:v>
      </x:c>
      <x:c r="C260" s="48" t="n">
        <x:v>223.74</x:v>
      </x:c>
      <x:c r="D260" s="48" t="n">
        <x:v>161.35</x:v>
      </x:c>
      <x:c r="E260" s="48" t="n">
        <x:v>249</x:v>
      </x:c>
      <x:c r="F260" s="48" t="n">
        <x:v>99.41</x:v>
      </x:c>
      <x:c r="G260" s="48" t="n">
        <x:v>144.6</x:v>
      </x:c>
      <x:c r="H260" s="49" t="n">
        <x:v>338967.43</x:v>
      </x:c>
      <x:c r="I260" s="49" t="n">
        <x:v>349572.53</x:v>
      </x:c>
      <x:c r="J260" s="48" t="n">
        <x:f>IF(COUNT(B260:C260)&lt;2,"",B260-C260)</x:f>
        <x:v>-80.65</x:v>
      </x:c>
      <x:c r="K260" s="48" t="n">
        <x:f>IF(COUNT(D260,F260)&lt;2,"",D260-F260)</x:f>
        <x:v>61.94</x:v>
      </x:c>
      <x:c r="L260" s="48" t="n">
        <x:f>IF(COUNT(E260,G260)&lt;2,"",E260-G260)</x:f>
        <x:v>104.4</x:v>
      </x:c>
      <x:c r="M260" s="31" t="str">
        <x:v>网站结构化接口</x:v>
      </x:c>
      <x:c r="N260" s="36" t="d">
        <x:v>2026-10-28T14:16:22.777Z</x:v>
      </x:c>
    </x:row>
    <x:row r="261">
      <x:c r="A261" s="36" t="d">
        <x:v>2025-09-17T00:00:00.000Z</x:v>
      </x:c>
      <x:c r="B261" s="48" t="n">
        <x:v>147.03</x:v>
      </x:c>
      <x:c r="C261" s="48" t="n">
        <x:v>189.95</x:v>
      </x:c>
      <x:c r="D261" s="48" t="n">
        <x:v>167.92</x:v>
      </x:c>
      <x:c r="E261" s="48" t="n">
        <x:v>212.49</x:v>
      </x:c>
      <x:c r="F261" s="48" t="n">
        <x:v>78.59</x:v>
      </x:c>
      <x:c r="G261" s="48" t="n">
        <x:v>97.23</x:v>
      </x:c>
      <x:c r="H261" s="49" t="n">
        <x:v>331161.65</x:v>
      </x:c>
      <x:c r="I261" s="49" t="n">
        <x:v>336420.62</x:v>
      </x:c>
      <x:c r="J261" s="48" t="n">
        <x:f>IF(COUNT(B261:C261)&lt;2,"",B261-C261)</x:f>
        <x:v>-42.91999999999999</x:v>
      </x:c>
      <x:c r="K261" s="48" t="n">
        <x:f>IF(COUNT(D261,F261)&lt;2,"",D261-F261)</x:f>
        <x:v>89.32999999999998</x:v>
      </x:c>
      <x:c r="L261" s="48" t="n">
        <x:f>IF(COUNT(E261,G261)&lt;2,"",E261-G261)</x:f>
        <x:v>115.26</x:v>
      </x:c>
      <x:c r="M261" s="31" t="str">
        <x:v>网站结构化接口</x:v>
      </x:c>
      <x:c r="N261" s="36" t="d">
        <x:v>2026-10-28T14:16:22.777Z</x:v>
      </x:c>
    </x:row>
    <x:row r="262">
      <x:c r="A262" s="36" t="d">
        <x:v>2025-09-18T00:00:00.000Z</x:v>
      </x:c>
      <x:c r="B262" s="48" t="n">
        <x:v>142.21</x:v>
      </x:c>
      <x:c r="C262" s="48" t="n">
        <x:v>216.4</x:v>
      </x:c>
      <x:c r="D262" s="48" t="n">
        <x:v>148.45</x:v>
      </x:c>
      <x:c r="E262" s="48" t="n">
        <x:v>223.51</x:v>
      </x:c>
      <x:c r="F262" s="48" t="n">
        <x:v>117.63</x:v>
      </x:c>
      <x:c r="G262" s="48" t="n">
        <x:v>181.74</x:v>
      </x:c>
      <x:c r="H262" s="49" t="n">
        <x:v>338003.72</x:v>
      </x:c>
      <x:c r="I262" s="49" t="n">
        <x:v>347093.21</x:v>
      </x:c>
      <x:c r="J262" s="48" t="n">
        <x:f>IF(COUNT(B262:C262)&lt;2,"",B262-C262)</x:f>
        <x:v>-74.19</x:v>
      </x:c>
      <x:c r="K262" s="48" t="n">
        <x:f>IF(COUNT(D262,F262)&lt;2,"",D262-F262)</x:f>
        <x:v>30.819999999999993</x:v>
      </x:c>
      <x:c r="L262" s="48" t="n">
        <x:f>IF(COUNT(E262,G262)&lt;2,"",E262-G262)</x:f>
        <x:v>41.76999999999998</x:v>
      </x:c>
      <x:c r="M262" s="31" t="str">
        <x:v>网站结构化接口</x:v>
      </x:c>
      <x:c r="N262" s="36" t="d">
        <x:v>2026-10-28T14:16:22.777Z</x:v>
      </x:c>
    </x:row>
    <x:row r="263">
      <x:c r="A263" s="36" t="d">
        <x:v>2025-09-19T00:00:00.000Z</x:v>
      </x:c>
      <x:c r="B263" s="48" t="n">
        <x:v>136.04</x:v>
      </x:c>
      <x:c r="C263" s="48" t="n">
        <x:v>160.16</x:v>
      </x:c>
      <x:c r="D263" s="48" t="n">
        <x:v>156.7</x:v>
      </x:c>
      <x:c r="E263" s="48" t="n">
        <x:v>177.29</x:v>
      </x:c>
      <x:c r="F263" s="48" t="n">
        <x:v>78.81</x:v>
      </x:c>
      <x:c r="G263" s="48" t="n">
        <x:v>89.58</x:v>
      </x:c>
      <x:c r="H263" s="49" t="n">
        <x:v>314112.83</x:v>
      </x:c>
      <x:c r="I263" s="49" t="n">
        <x:v>316380.86</x:v>
      </x:c>
      <x:c r="J263" s="48" t="n">
        <x:f>IF(COUNT(B263:C263)&lt;2,"",B263-C263)</x:f>
        <x:v>-24.120000000000005</x:v>
      </x:c>
      <x:c r="K263" s="48" t="n">
        <x:f>IF(COUNT(D263,F263)&lt;2,"",D263-F263)</x:f>
        <x:v>77.88999999999999</x:v>
      </x:c>
      <x:c r="L263" s="48" t="n">
        <x:f>IF(COUNT(E263,G263)&lt;2,"",E263-G263)</x:f>
        <x:v>87.71</x:v>
      </x:c>
      <x:c r="M263" s="31" t="str">
        <x:v>网站结构化接口</x:v>
      </x:c>
      <x:c r="N263" s="36" t="d">
        <x:v>2026-10-28T14:16:22.777Z</x:v>
      </x:c>
    </x:row>
    <x:row r="264">
      <x:c r="A264" s="36" t="d">
        <x:v>2025-09-20T00:00:00.000Z</x:v>
      </x:c>
      <x:c r="B264" s="48" t="n">
        <x:v>65.23</x:v>
      </x:c>
      <x:c r="C264" s="48" t="n">
        <x:v>68.77</x:v>
      </x:c>
      <x:c r="D264" s="48" t="n">
        <x:v>69.55</x:v>
      </x:c>
      <x:c r="E264" s="48" t="n">
        <x:v>73.94</x:v>
      </x:c>
      <x:c r="F264" s="48" t="n">
        <x:v>56.65</x:v>
      </x:c>
      <x:c r="G264" s="48" t="n">
        <x:v>58.1</x:v>
      </x:c>
      <x:c r="H264" s="49" t="n">
        <x:v>288974.72</x:v>
      </x:c>
      <x:c r="I264" s="49" t="n">
        <x:v>279352.95</x:v>
      </x:c>
      <x:c r="J264" s="48" t="n">
        <x:f>IF(COUNT(B264:C264)&lt;2,"",B264-C264)</x:f>
        <x:v>-3.539999999999992</x:v>
      </x:c>
      <x:c r="K264" s="48" t="n">
        <x:f>IF(COUNT(D264,F264)&lt;2,"",D264-F264)</x:f>
        <x:v>12.899999999999999</x:v>
      </x:c>
      <x:c r="L264" s="48" t="n">
        <x:f>IF(COUNT(E264,G264)&lt;2,"",E264-G264)</x:f>
        <x:v>15.839999999999996</x:v>
      </x:c>
      <x:c r="M264" s="31" t="str">
        <x:v>网站结构化接口</x:v>
      </x:c>
      <x:c r="N264" s="36" t="d">
        <x:v>2026-10-28T14:16:22.777Z</x:v>
      </x:c>
    </x:row>
    <x:row r="265">
      <x:c r="A265" s="36" t="d">
        <x:v>2025-09-21T00:00:00.000Z</x:v>
      </x:c>
      <x:c r="B265" s="48" t="n">
        <x:v>58.8</x:v>
      </x:c>
      <x:c r="C265" s="48" t="n">
        <x:v>211.43</x:v>
      </x:c>
      <x:c r="D265" s="48" t="n">
        <x:v>59.52</x:v>
      </x:c>
      <x:c r="E265" s="48" t="n">
        <x:v>221.02</x:v>
      </x:c>
      <x:c r="F265" s="48" t="n">
        <x:v>57.3</x:v>
      </x:c>
      <x:c r="G265" s="48" t="n">
        <x:v>187.5</x:v>
      </x:c>
      <x:c r="H265" s="49" t="n">
        <x:v>301959.14</x:v>
      </x:c>
      <x:c r="I265" s="49" t="n">
        <x:v>329652.9</x:v>
      </x:c>
      <x:c r="J265" s="48" t="n">
        <x:f>IF(COUNT(B265:C265)&lt;2,"",B265-C265)</x:f>
        <x:v>-152.63</x:v>
      </x:c>
      <x:c r="K265" s="48" t="n">
        <x:f>IF(COUNT(D265,F265)&lt;2,"",D265-F265)</x:f>
        <x:v>2.220000000000006</x:v>
      </x:c>
      <x:c r="L265" s="48" t="n">
        <x:f>IF(COUNT(E265,G265)&lt;2,"",E265-G265)</x:f>
        <x:v>33.52000000000001</x:v>
      </x:c>
      <x:c r="M265" s="31" t="str">
        <x:v>网站结构化接口</x:v>
      </x:c>
      <x:c r="N265" s="36" t="d">
        <x:v>2026-10-28T14:16:22.777Z</x:v>
      </x:c>
    </x:row>
    <x:row r="266">
      <x:c r="A266" s="36" t="d">
        <x:v>2025-09-22T00:00:00.000Z</x:v>
      </x:c>
      <x:c r="B266" s="48" t="n">
        <x:v>134.63</x:v>
      </x:c>
      <x:c r="C266" s="48" t="n">
        <x:v>280.41</x:v>
      </x:c>
      <x:c r="D266" s="48" t="n">
        <x:v>139.01</x:v>
      </x:c>
      <x:c r="E266" s="48" t="n">
        <x:v>277.06</x:v>
      </x:c>
      <x:c r="F266" s="48" t="n">
        <x:v>122.19</x:v>
      </x:c>
      <x:c r="G266" s="48" t="n">
        <x:v>300.69</x:v>
      </x:c>
      <x:c r="H266" s="49" t="n">
        <x:v>313592.2</x:v>
      </x:c>
      <x:c r="I266" s="49" t="n">
        <x:v>342849.91</x:v>
      </x:c>
      <x:c r="J266" s="48" t="n">
        <x:f>IF(COUNT(B266:C266)&lt;2,"",B266-C266)</x:f>
        <x:v>-145.78000000000003</x:v>
      </x:c>
      <x:c r="K266" s="48" t="n">
        <x:f>IF(COUNT(D266,F266)&lt;2,"",D266-F266)</x:f>
        <x:v>16.819999999999993</x:v>
      </x:c>
      <x:c r="L266" s="48" t="n">
        <x:f>IF(COUNT(E266,G266)&lt;2,"",E266-G266)</x:f>
        <x:v>-23.629999999999995</x:v>
      </x:c>
      <x:c r="M266" s="31" t="str">
        <x:v>网站结构化接口</x:v>
      </x:c>
      <x:c r="N266" s="36" t="d">
        <x:v>2026-10-28T14:16:22.777Z</x:v>
      </x:c>
    </x:row>
    <x:row r="267">
      <x:c r="A267" s="36" t="d">
        <x:v>2025-09-23T00:00:00.000Z</x:v>
      </x:c>
      <x:c r="B267" s="48" t="n">
        <x:v>45.21</x:v>
      </x:c>
      <x:c r="C267" s="48" t="n">
        <x:v>59.97</x:v>
      </x:c>
      <x:c r="D267" s="48" t="n">
        <x:v>46.55</x:v>
      </x:c>
      <x:c r="E267" s="48" t="n">
        <x:v>63.16</x:v>
      </x:c>
      <x:c r="F267" s="48" t="n">
        <x:v>41.77</x:v>
      </x:c>
      <x:c r="G267" s="48" t="n">
        <x:v>48.81</x:v>
      </x:c>
      <x:c r="H267" s="49" t="n">
        <x:v>288366.8</x:v>
      </x:c>
      <x:c r="I267" s="49" t="n">
        <x:v>284834.42</x:v>
      </x:c>
      <x:c r="J267" s="48" t="n">
        <x:f>IF(COUNT(B267:C267)&lt;2,"",B267-C267)</x:f>
        <x:v>-14.759999999999998</x:v>
      </x:c>
      <x:c r="K267" s="48" t="n">
        <x:f>IF(COUNT(D267,F267)&lt;2,"",D267-F267)</x:f>
        <x:v>4.779999999999994</x:v>
      </x:c>
      <x:c r="L267" s="48" t="n">
        <x:f>IF(COUNT(E267,G267)&lt;2,"",E267-G267)</x:f>
        <x:v>14.349999999999994</x:v>
      </x:c>
      <x:c r="M267" s="31" t="str">
        <x:v>网站结构化接口</x:v>
      </x:c>
      <x:c r="N267" s="36" t="d">
        <x:v>2026-10-28T14:16:22.777Z</x:v>
      </x:c>
    </x:row>
    <x:row r="268">
      <x:c r="A268" s="36" t="d">
        <x:v>2025-09-24T00:00:00.000Z</x:v>
      </x:c>
      <x:c r="B268" s="48" t="n">
        <x:v>52.27</x:v>
      </x:c>
      <x:c r="C268" s="48" t="n">
        <x:v>56.79</x:v>
      </x:c>
      <x:c r="D268" s="48" t="n">
        <x:v>55.61</x:v>
      </x:c>
      <x:c r="E268" s="48" t="n">
        <x:v>61.76</x:v>
      </x:c>
      <x:c r="F268" s="48" t="n">
        <x:v>45.71</x:v>
      </x:c>
      <x:c r="G268" s="48" t="n">
        <x:v>46.13</x:v>
      </x:c>
      <x:c r="H268" s="49" t="n">
        <x:v>267455.93</x:v>
      </x:c>
      <x:c r="I268" s="49" t="n">
        <x:v>265779.41</x:v>
      </x:c>
      <x:c r="J268" s="48" t="n">
        <x:f>IF(COUNT(B268:C268)&lt;2,"",B268-C268)</x:f>
        <x:v>-4.519999999999996</x:v>
      </x:c>
      <x:c r="K268" s="48" t="n">
        <x:f>IF(COUNT(D268,F268)&lt;2,"",D268-F268)</x:f>
        <x:v>9.899999999999999</x:v>
      </x:c>
      <x:c r="L268" s="48" t="n">
        <x:f>IF(COUNT(E268,G268)&lt;2,"",E268-G268)</x:f>
        <x:v>15.629999999999995</x:v>
      </x:c>
      <x:c r="M268" s="31" t="str">
        <x:v>网站结构化接口</x:v>
      </x:c>
      <x:c r="N268" s="36" t="d">
        <x:v>2026-10-28T14:16:22.777Z</x:v>
      </x:c>
    </x:row>
    <x:row r="269">
      <x:c r="A269" s="36" t="d">
        <x:v>2025-09-25T00:00:00.000Z</x:v>
      </x:c>
      <x:c r="B269" s="48" t="n">
        <x:v>40</x:v>
      </x:c>
      <x:c r="C269" s="48" t="n">
        <x:v>40</x:v>
      </x:c>
      <x:c r="D269" s="48" t="n">
        <x:v>40</x:v>
      </x:c>
      <x:c r="E269" s="48" t="n">
        <x:v>40</x:v>
      </x:c>
      <x:c r="F269" s="48" t="n">
        <x:v>40</x:v>
      </x:c>
      <x:c r="G269" s="48" t="n">
        <x:v>40</x:v>
      </x:c>
      <x:c r="H269" s="49" t="n">
        <x:v>265487.4</x:v>
      </x:c>
      <x:c r="I269" s="49" t="n">
        <x:v>273837.02</x:v>
      </x:c>
      <x:c r="J269" s="48" t="n">
        <x:f>IF(COUNT(B269:C269)&lt;2,"",B269-C269)</x:f>
        <x:v>0</x:v>
      </x:c>
      <x:c r="K269" s="48" t="n">
        <x:f>IF(COUNT(D269,F269)&lt;2,"",D269-F269)</x:f>
        <x:v>0</x:v>
      </x:c>
      <x:c r="L269" s="48" t="n">
        <x:f>IF(COUNT(E269,G269)&lt;2,"",E269-G269)</x:f>
        <x:v>0</x:v>
      </x:c>
      <x:c r="M269" s="31" t="str">
        <x:v>网站结构化接口</x:v>
      </x:c>
      <x:c r="N269" s="36" t="d">
        <x:v>2026-10-28T14:16:22.777Z</x:v>
      </x:c>
    </x:row>
    <x:row r="270">
      <x:c r="A270" s="36" t="d">
        <x:v>2025-09-26T00:00:00.000Z</x:v>
      </x:c>
      <x:c r="B270" s="48" t="n">
        <x:v>81.42</x:v>
      </x:c>
      <x:c r="C270" s="48" t="n">
        <x:v>110.67</x:v>
      </x:c>
      <x:c r="D270" s="48" t="n">
        <x:v>92.49</x:v>
      </x:c>
      <x:c r="E270" s="48" t="n">
        <x:v>127.82</x:v>
      </x:c>
      <x:c r="F270" s="48" t="n">
        <x:v>63.51</x:v>
      </x:c>
      <x:c r="G270" s="48" t="n">
        <x:v>81.31</x:v>
      </x:c>
      <x:c r="H270" s="49" t="n">
        <x:v>296476.32</x:v>
      </x:c>
      <x:c r="I270" s="49" t="n">
        <x:v>314679.51</x:v>
      </x:c>
      <x:c r="J270" s="48" t="n">
        <x:f>IF(COUNT(B270:C270)&lt;2,"",B270-C270)</x:f>
        <x:v>-29.25</x:v>
      </x:c>
      <x:c r="K270" s="48" t="n">
        <x:f>IF(COUNT(D270,F270)&lt;2,"",D270-F270)</x:f>
        <x:v>28.979999999999997</x:v>
      </x:c>
      <x:c r="L270" s="48" t="n">
        <x:f>IF(COUNT(E270,G270)&lt;2,"",E270-G270)</x:f>
        <x:v>46.50999999999999</x:v>
      </x:c>
      <x:c r="M270" s="31" t="str">
        <x:v>网站结构化接口</x:v>
      </x:c>
      <x:c r="N270" s="36" t="d">
        <x:v>2026-10-28T14:16:22.777Z</x:v>
      </x:c>
    </x:row>
    <x:row r="271">
      <x:c r="A271" s="36" t="d">
        <x:v>2025-09-27T00:00:00.000Z</x:v>
      </x:c>
      <x:c r="B271" s="48" t="n">
        <x:v>96.59</x:v>
      </x:c>
      <x:c r="C271" s="48" t="n">
        <x:v>524.82</x:v>
      </x:c>
      <x:c r="D271" s="48" t="n">
        <x:v>104.82</x:v>
      </x:c>
      <x:c r="E271" s="48" t="n">
        <x:v>516.93</x:v>
      </x:c>
      <x:c r="F271" s="48" t="n">
        <x:v>69.8</x:v>
      </x:c>
      <x:c r="G271" s="48" t="n">
        <x:v>572.7</x:v>
      </x:c>
      <x:c r="H271" s="49" t="n">
        <x:v>323193.92</x:v>
      </x:c>
      <x:c r="I271" s="49" t="n">
        <x:v>339372.61</x:v>
      </x:c>
      <x:c r="J271" s="48" t="n">
        <x:f>IF(COUNT(B271:C271)&lt;2,"",B271-C271)</x:f>
        <x:v>-428.23</x:v>
      </x:c>
      <x:c r="K271" s="48" t="n">
        <x:f>IF(COUNT(D271,F271)&lt;2,"",D271-F271)</x:f>
        <x:v>35.019999999999996</x:v>
      </x:c>
      <x:c r="L271" s="48" t="n">
        <x:f>IF(COUNT(E271,G271)&lt;2,"",E271-G271)</x:f>
        <x:v>-55.770000000000095</x:v>
      </x:c>
      <x:c r="M271" s="31" t="str">
        <x:v>网站结构化接口</x:v>
      </x:c>
      <x:c r="N271" s="36" t="d">
        <x:v>2026-10-28T14:16:22.777Z</x:v>
      </x:c>
    </x:row>
    <x:row r="272">
      <x:c r="A272" s="36" t="d">
        <x:v>2025-09-28T00:00:00.000Z</x:v>
      </x:c>
      <x:c r="B272" s="48" t="n">
        <x:v>159.39</x:v>
      </x:c>
      <x:c r="C272" s="48" t="n">
        <x:v>253.56</x:v>
      </x:c>
      <x:c r="D272" s="48" t="n">
        <x:v>189.23</x:v>
      </x:c>
      <x:c r="E272" s="48" t="n">
        <x:v>262.44</x:v>
      </x:c>
      <x:c r="F272" s="48" t="n">
        <x:v>73.55</x:v>
      </x:c>
      <x:c r="G272" s="48" t="n">
        <x:v>210.46</x:v>
      </x:c>
      <x:c r="H272" s="49" t="n">
        <x:v>313977.44</x:v>
      </x:c>
      <x:c r="I272" s="49" t="n">
        <x:v>328242.8</x:v>
      </x:c>
      <x:c r="J272" s="48" t="n">
        <x:f>IF(COUNT(B272:C272)&lt;2,"",B272-C272)</x:f>
        <x:v>-94.17000000000002</x:v>
      </x:c>
      <x:c r="K272" s="48" t="n">
        <x:f>IF(COUNT(D272,F272)&lt;2,"",D272-F272)</x:f>
        <x:v>115.67999999999999</x:v>
      </x:c>
      <x:c r="L272" s="48" t="n">
        <x:f>IF(COUNT(E272,G272)&lt;2,"",E272-G272)</x:f>
        <x:v>51.97999999999999</x:v>
      </x:c>
      <x:c r="M272" s="31" t="str">
        <x:v>网站结构化接口</x:v>
      </x:c>
      <x:c r="N272" s="36" t="d">
        <x:v>2026-10-28T14:16:22.777Z</x:v>
      </x:c>
    </x:row>
    <x:row r="273">
      <x:c r="A273" s="36" t="d">
        <x:v>2025-09-29T00:00:00.000Z</x:v>
      </x:c>
      <x:c r="B273" s="48" t="n">
        <x:v>115.57</x:v>
      </x:c>
      <x:c r="C273" s="48" t="n">
        <x:v>139.13</x:v>
      </x:c>
      <x:c r="D273" s="48" t="n">
        <x:v>130.18</x:v>
      </x:c>
      <x:c r="E273" s="48" t="n">
        <x:v>159.56</x:v>
      </x:c>
      <x:c r="F273" s="48" t="n">
        <x:v>63.25</x:v>
      </x:c>
      <x:c r="G273" s="48" t="n">
        <x:v>66.12</x:v>
      </x:c>
      <x:c r="H273" s="49" t="n">
        <x:v>283162.22</x:v>
      </x:c>
      <x:c r="I273" s="49" t="n">
        <x:v>301569.6</x:v>
      </x:c>
      <x:c r="J273" s="48" t="n">
        <x:f>IF(COUNT(B273:C273)&lt;2,"",B273-C273)</x:f>
        <x:v>-23.560000000000002</x:v>
      </x:c>
      <x:c r="K273" s="48" t="n">
        <x:f>IF(COUNT(D273,F273)&lt;2,"",D273-F273)</x:f>
        <x:v>66.93</x:v>
      </x:c>
      <x:c r="L273" s="48" t="n">
        <x:f>IF(COUNT(E273,G273)&lt;2,"",E273-G273)</x:f>
        <x:v>93.44</x:v>
      </x:c>
      <x:c r="M273" s="31" t="str">
        <x:v>网站结构化接口</x:v>
      </x:c>
      <x:c r="N273" s="36" t="d">
        <x:v>2026-10-28T14:16:22.777Z</x:v>
      </x:c>
    </x:row>
    <x:row r="274">
      <x:c r="A274" s="36" t="d">
        <x:v>2025-09-30T00:00:00.000Z</x:v>
      </x:c>
      <x:c r="B274" s="48" t="n">
        <x:v>119.05</x:v>
      </x:c>
      <x:c r="C274" s="48" t="n">
        <x:v>142.76</x:v>
      </x:c>
      <x:c r="D274" s="48" t="n">
        <x:v>135.32</x:v>
      </x:c>
      <x:c r="E274" s="48" t="n">
        <x:v>166.4</x:v>
      </x:c>
      <x:c r="F274" s="48" t="n">
        <x:v>67.01</x:v>
      </x:c>
      <x:c r="G274" s="48" t="n">
        <x:v>70.68</x:v>
      </x:c>
      <x:c r="H274" s="49" t="n">
        <x:v>280495</x:v>
      </x:c>
      <x:c r="I274" s="49" t="n">
        <x:v>294367.88</x:v>
      </x:c>
      <x:c r="J274" s="48" t="n">
        <x:f>IF(COUNT(B274:C274)&lt;2,"",B274-C274)</x:f>
        <x:v>-23.709999999999994</x:v>
      </x:c>
      <x:c r="K274" s="48" t="n">
        <x:f>IF(COUNT(D274,F274)&lt;2,"",D274-F274)</x:f>
        <x:v>68.30999999999999</x:v>
      </x:c>
      <x:c r="L274" s="48" t="n">
        <x:f>IF(COUNT(E274,G274)&lt;2,"",E274-G274)</x:f>
        <x:v>95.72</x:v>
      </x:c>
      <x:c r="M274" s="31" t="str">
        <x:v>网站结构化接口</x:v>
      </x:c>
      <x:c r="N274" s="36" t="d">
        <x:v>2026-10-28T14:16:22.777Z</x:v>
      </x:c>
    </x:row>
    <x:row r="275">
      <x:c r="A275" s="36" t="d">
        <x:v>2025-10-01T00:00:00.000Z</x:v>
      </x:c>
      <x:c r="B275" s="48" t="n">
        <x:v>259.94</x:v>
      </x:c>
      <x:c r="C275" s="48" t="n">
        <x:v>258.22</x:v>
      </x:c>
      <x:c r="D275" s="48" t="n">
        <x:v>267.39</x:v>
      </x:c>
      <x:c r="E275" s="48" t="n">
        <x:v>262.65</x:v>
      </x:c>
      <x:c r="F275" s="48" t="n">
        <x:v>229.21</x:v>
      </x:c>
      <x:c r="G275" s="48" t="n">
        <x:v>239.79</x:v>
      </x:c>
      <x:c r="H275" s="49" t="n">
        <x:v>277621.95</x:v>
      </x:c>
      <x:c r="I275" s="49" t="n">
        <x:v>279757.07</x:v>
      </x:c>
      <x:c r="J275" s="48" t="n">
        <x:f>IF(COUNT(B275:C275)&lt;2,"",B275-C275)</x:f>
        <x:v>1.7199999999999704</x:v>
      </x:c>
      <x:c r="K275" s="48" t="n">
        <x:f>IF(COUNT(D275,F275)&lt;2,"",D275-F275)</x:f>
        <x:v>38.17999999999998</x:v>
      </x:c>
      <x:c r="L275" s="48" t="n">
        <x:f>IF(COUNT(E275,G275)&lt;2,"",E275-G275)</x:f>
        <x:v>22.859999999999985</x:v>
      </x:c>
      <x:c r="M275" s="31" t="str">
        <x:v>网站结构化接口</x:v>
      </x:c>
      <x:c r="N275" s="36" t="d">
        <x:v>2026-10-28T14:16:22.777Z</x:v>
      </x:c>
    </x:row>
    <x:row r="276">
      <x:c r="A276" s="36" t="d">
        <x:v>2025-10-02T00:00:00.000Z</x:v>
      </x:c>
      <x:c r="B276" s="48" t="n">
        <x:v>147.49</x:v>
      </x:c>
      <x:c r="C276" s="48" t="n">
        <x:v>156.06</x:v>
      </x:c>
      <x:c r="D276" s="48" t="n">
        <x:v>166.15</x:v>
      </x:c>
      <x:c r="E276" s="48" t="n">
        <x:v>177.49</x:v>
      </x:c>
      <x:c r="F276" s="48" t="n">
        <x:v>110.84</x:v>
      </x:c>
      <x:c r="G276" s="48" t="n">
        <x:v>109.37</x:v>
      </x:c>
      <x:c r="H276" s="49" t="n">
        <x:v>248566.47</x:v>
      </x:c>
      <x:c r="I276" s="49" t="n">
        <x:v>240955.95</x:v>
      </x:c>
      <x:c r="J276" s="48" t="n">
        <x:f>IF(COUNT(B276:C276)&lt;2,"",B276-C276)</x:f>
        <x:v>-8.569999999999993</x:v>
      </x:c>
      <x:c r="K276" s="48" t="n">
        <x:f>IF(COUNT(D276,F276)&lt;2,"",D276-F276)</x:f>
        <x:v>55.31</x:v>
      </x:c>
      <x:c r="L276" s="48" t="n">
        <x:f>IF(COUNT(E276,G276)&lt;2,"",E276-G276)</x:f>
        <x:v>68.12</x:v>
      </x:c>
      <x:c r="M276" s="31" t="str">
        <x:v>网站结构化接口</x:v>
      </x:c>
      <x:c r="N276" s="36" t="d">
        <x:v>2026-10-28T14:16:22.777Z</x:v>
      </x:c>
    </x:row>
    <x:row r="277">
      <x:c r="A277" s="36" t="d">
        <x:v>2025-10-03T00:00:00.000Z</x:v>
      </x:c>
      <x:c r="B277" s="48" t="n">
        <x:v>211.12</x:v>
      </x:c>
      <x:c r="C277" s="48" t="n">
        <x:v>222.93</x:v>
      </x:c>
      <x:c r="D277" s="48" t="n">
        <x:v>246.29</x:v>
      </x:c>
      <x:c r="E277" s="48" t="n">
        <x:v>277.36</x:v>
      </x:c>
      <x:c r="F277" s="48" t="n">
        <x:v>140.97</x:v>
      </x:c>
      <x:c r="G277" s="48" t="n">
        <x:v>107.21</x:v>
      </x:c>
      <x:c r="H277" s="49" t="n">
        <x:v>260981.67</x:v>
      </x:c>
      <x:c r="I277" s="49" t="n">
        <x:v>246910.25</x:v>
      </x:c>
      <x:c r="J277" s="48" t="n">
        <x:f>IF(COUNT(B277:C277)&lt;2,"",B277-C277)</x:f>
        <x:v>-11.810000000000002</x:v>
      </x:c>
      <x:c r="K277" s="48" t="n">
        <x:f>IF(COUNT(D277,F277)&lt;2,"",D277-F277)</x:f>
        <x:v>105.32</x:v>
      </x:c>
      <x:c r="L277" s="48" t="n">
        <x:f>IF(COUNT(E277,G277)&lt;2,"",E277-G277)</x:f>
        <x:v>170.15000000000003</x:v>
      </x:c>
      <x:c r="M277" s="31" t="str">
        <x:v>网站结构化接口</x:v>
      </x:c>
      <x:c r="N277" s="36" t="d">
        <x:v>2026-10-28T14:16:22.777Z</x:v>
      </x:c>
    </x:row>
    <x:row r="278">
      <x:c r="A278" s="36" t="d">
        <x:v>2025-10-04T00:00:00.000Z</x:v>
      </x:c>
      <x:c r="B278" s="48" t="n">
        <x:v>329.73</x:v>
      </x:c>
      <x:c r="C278" s="48" t="n">
        <x:v>360.87</x:v>
      </x:c>
      <x:c r="D278" s="48" t="n">
        <x:v>337.77</x:v>
      </x:c>
      <x:c r="E278" s="48" t="n">
        <x:v>363.04</x:v>
      </x:c>
      <x:c r="F278" s="48" t="n">
        <x:v>289.25</x:v>
      </x:c>
      <x:c r="G278" s="48" t="n">
        <x:v>345.58</x:v>
      </x:c>
      <x:c r="H278" s="49" t="n">
        <x:v>282890.29</x:v>
      </x:c>
      <x:c r="I278" s="49" t="n">
        <x:v>278424.44</x:v>
      </x:c>
      <x:c r="J278" s="48" t="n">
        <x:f>IF(COUNT(B278:C278)&lt;2,"",B278-C278)</x:f>
        <x:v>-31.139999999999986</x:v>
      </x:c>
      <x:c r="K278" s="48" t="n">
        <x:f>IF(COUNT(D278,F278)&lt;2,"",D278-F278)</x:f>
        <x:v>48.51999999999998</x:v>
      </x:c>
      <x:c r="L278" s="48" t="n">
        <x:f>IF(COUNT(E278,G278)&lt;2,"",E278-G278)</x:f>
        <x:v>17.460000000000036</x:v>
      </x:c>
      <x:c r="M278" s="31" t="str">
        <x:v>网站结构化接口</x:v>
      </x:c>
      <x:c r="N278" s="36" t="d">
        <x:v>2026-10-28T14:16:22.777Z</x:v>
      </x:c>
    </x:row>
    <x:row r="279">
      <x:c r="A279" s="36" t="d">
        <x:v>2025-10-05T00:00:00.000Z</x:v>
      </x:c>
      <x:c r="B279" s="48" t="n">
        <x:v>369.48</x:v>
      </x:c>
      <x:c r="C279" s="48" t="n">
        <x:v>460.47</x:v>
      </x:c>
      <x:c r="D279" s="48" t="n">
        <x:v>370.9</x:v>
      </x:c>
      <x:c r="E279" s="48" t="n">
        <x:v>468.15</x:v>
      </x:c>
      <x:c r="F279" s="48" t="n">
        <x:v>359.23</x:v>
      </x:c>
      <x:c r="G279" s="48" t="n">
        <x:v>394.24</x:v>
      </x:c>
      <x:c r="H279" s="49" t="n">
        <x:v>304661.84</x:v>
      </x:c>
      <x:c r="I279" s="49" t="n">
        <x:v>305160.29</x:v>
      </x:c>
      <x:c r="J279" s="48" t="n">
        <x:f>IF(COUNT(B279:C279)&lt;2,"",B279-C279)</x:f>
        <x:v>-90.99000000000001</x:v>
      </x:c>
      <x:c r="K279" s="48" t="n">
        <x:f>IF(COUNT(D279,F279)&lt;2,"",D279-F279)</x:f>
        <x:v>11.669999999999959</x:v>
      </x:c>
      <x:c r="L279" s="48" t="n">
        <x:f>IF(COUNT(E279,G279)&lt;2,"",E279-G279)</x:f>
        <x:v>73.90999999999997</x:v>
      </x:c>
      <x:c r="M279" s="31" t="str">
        <x:v>网站结构化接口</x:v>
      </x:c>
      <x:c r="N279" s="36" t="d">
        <x:v>2026-10-28T14:16:22.777Z</x:v>
      </x:c>
    </x:row>
    <x:row r="280">
      <x:c r="A280" s="36" t="d">
        <x:v>2025-10-06T00:00:00.000Z</x:v>
      </x:c>
      <x:c r="B280" s="48" t="n">
        <x:v>186.37</x:v>
      </x:c>
      <x:c r="C280" s="48" t="n">
        <x:v>217.57</x:v>
      </x:c>
      <x:c r="D280" s="48" t="n">
        <x:v>201.41</x:v>
      </x:c>
      <x:c r="E280" s="48" t="n">
        <x:v>232.6</x:v>
      </x:c>
      <x:c r="F280" s="48" t="n">
        <x:v>102.98</x:v>
      </x:c>
      <x:c r="G280" s="48" t="n">
        <x:v>112.76</x:v>
      </x:c>
      <x:c r="H280" s="49" t="n">
        <x:v>305709.57</x:v>
      </x:c>
      <x:c r="I280" s="49" t="n">
        <x:v>298014.82</x:v>
      </x:c>
      <x:c r="J280" s="48" t="n">
        <x:f>IF(COUNT(B280:C280)&lt;2,"",B280-C280)</x:f>
        <x:v>-31.19999999999999</x:v>
      </x:c>
      <x:c r="K280" s="48" t="n">
        <x:f>IF(COUNT(D280,F280)&lt;2,"",D280-F280)</x:f>
        <x:v>98.42999999999999</x:v>
      </x:c>
      <x:c r="L280" s="48" t="n">
        <x:f>IF(COUNT(E280,G280)&lt;2,"",E280-G280)</x:f>
        <x:v>119.83999999999999</x:v>
      </x:c>
      <x:c r="M280" s="31" t="str">
        <x:v>网站结构化接口</x:v>
      </x:c>
      <x:c r="N280" s="36" t="d">
        <x:v>2026-10-28T14:16:22.777Z</x:v>
      </x:c>
    </x:row>
    <x:row r="281">
      <x:c r="A281" s="36" t="d">
        <x:v>2025-10-07T00:00:00.000Z</x:v>
      </x:c>
      <x:c r="B281" s="48" t="n">
        <x:v>138.31</x:v>
      </x:c>
      <x:c r="C281" s="48" t="n">
        <x:v>218.42</x:v>
      </x:c>
      <x:c r="D281" s="48" t="n">
        <x:v>149.48</x:v>
      </x:c>
      <x:c r="E281" s="48" t="n">
        <x:v>228.27</x:v>
      </x:c>
      <x:c r="F281" s="48" t="n">
        <x:v>87.57</x:v>
      </x:c>
      <x:c r="G281" s="48" t="n">
        <x:v>148.6</x:v>
      </x:c>
      <x:c r="H281" s="49" t="n">
        <x:v>295508.26</x:v>
      </x:c>
      <x:c r="I281" s="49" t="n">
        <x:v>303353.86</x:v>
      </x:c>
      <x:c r="J281" s="48" t="n">
        <x:f>IF(COUNT(B281:C281)&lt;2,"",B281-C281)</x:f>
        <x:v>-80.10999999999999</x:v>
      </x:c>
      <x:c r="K281" s="48" t="n">
        <x:f>IF(COUNT(D281,F281)&lt;2,"",D281-F281)</x:f>
        <x:v>61.91</x:v>
      </x:c>
      <x:c r="L281" s="48" t="n">
        <x:f>IF(COUNT(E281,G281)&lt;2,"",E281-G281)</x:f>
        <x:v>79.67000000000002</x:v>
      </x:c>
      <x:c r="M281" s="31" t="str">
        <x:v>网站结构化接口</x:v>
      </x:c>
      <x:c r="N281" s="36" t="d">
        <x:v>2026-10-28T14:16:22.777Z</x:v>
      </x:c>
    </x:row>
    <x:row r="282">
      <x:c r="A282" s="36" t="d">
        <x:v>2025-10-08T00:00:00.000Z</x:v>
      </x:c>
      <x:c r="B282" s="48" t="n">
        <x:v>101.32</x:v>
      </x:c>
      <x:c r="C282" s="48" t="n">
        <x:v>223.16</x:v>
      </x:c>
      <x:c r="D282" s="48" t="n">
        <x:v>114.16</x:v>
      </x:c>
      <x:c r="E282" s="48" t="n">
        <x:v>243.45</x:v>
      </x:c>
      <x:c r="F282" s="48" t="n">
        <x:v>75.1</x:v>
      </x:c>
      <x:c r="G282" s="48" t="n">
        <x:v>164.17</x:v>
      </x:c>
      <x:c r="H282" s="49" t="n">
        <x:v>297235.37</x:v>
      </x:c>
      <x:c r="I282" s="49" t="n">
        <x:v>321215.05</x:v>
      </x:c>
      <x:c r="J282" s="48" t="n">
        <x:f>IF(COUNT(B282:C282)&lt;2,"",B282-C282)</x:f>
        <x:v>-121.84</x:v>
      </x:c>
      <x:c r="K282" s="48" t="n">
        <x:f>IF(COUNT(D282,F282)&lt;2,"",D282-F282)</x:f>
        <x:v>39.06</x:v>
      </x:c>
      <x:c r="L282" s="48" t="n">
        <x:f>IF(COUNT(E282,G282)&lt;2,"",E282-G282)</x:f>
        <x:v>79.28</x:v>
      </x:c>
      <x:c r="M282" s="31" t="str">
        <x:v>网站结构化接口</x:v>
      </x:c>
      <x:c r="N282" s="36" t="d">
        <x:v>2026-10-28T14:16:22.777Z</x:v>
      </x:c>
    </x:row>
    <x:row r="283">
      <x:c r="A283" s="36" t="d">
        <x:v>2025-10-09T00:00:00.000Z</x:v>
      </x:c>
      <x:c r="B283" s="48" t="n">
        <x:v>193.86</x:v>
      </x:c>
      <x:c r="C283" s="48" t="n">
        <x:v>481.77</x:v>
      </x:c>
      <x:c r="D283" s="48" t="n">
        <x:v>196.71</x:v>
      </x:c>
      <x:c r="E283" s="48" t="n">
        <x:v>487.72</x:v>
      </x:c>
      <x:c r="F283" s="48" t="n">
        <x:v>180.8</x:v>
      </x:c>
      <x:c r="G283" s="48" t="n">
        <x:v>441.39</x:v>
      </x:c>
      <x:c r="H283" s="49" t="n">
        <x:v>318282.46</x:v>
      </x:c>
      <x:c r="I283" s="49" t="n">
        <x:v>337748.87</x:v>
      </x:c>
      <x:c r="J283" s="48" t="n">
        <x:f>IF(COUNT(B283:C283)&lt;2,"",B283-C283)</x:f>
        <x:v>-287.90999999999997</x:v>
      </x:c>
      <x:c r="K283" s="48" t="n">
        <x:f>IF(COUNT(D283,F283)&lt;2,"",D283-F283)</x:f>
        <x:v>15.909999999999997</x:v>
      </x:c>
      <x:c r="L283" s="48" t="n">
        <x:f>IF(COUNT(E283,G283)&lt;2,"",E283-G283)</x:f>
        <x:v>46.33000000000004</x:v>
      </x:c>
      <x:c r="M283" s="31" t="str">
        <x:v>网站结构化接口</x:v>
      </x:c>
      <x:c r="N283" s="36" t="d">
        <x:v>2026-10-28T14:16:22.777Z</x:v>
      </x:c>
    </x:row>
    <x:row r="284">
      <x:c r="A284" s="36" t="d">
        <x:v>2025-10-10T00:00:00.000Z</x:v>
      </x:c>
      <x:c r="B284" s="48" t="n">
        <x:v>314.58</x:v>
      </x:c>
      <x:c r="C284" s="48" t="n">
        <x:v>418.74</x:v>
      </x:c>
      <x:c r="D284" s="48" t="n">
        <x:v>316.57</x:v>
      </x:c>
      <x:c r="E284" s="48" t="n">
        <x:v>420.28</x:v>
      </x:c>
      <x:c r="F284" s="48" t="n">
        <x:v>302.37</x:v>
      </x:c>
      <x:c r="G284" s="48" t="n">
        <x:v>403.24</x:v>
      </x:c>
      <x:c r="H284" s="49" t="n">
        <x:v>342827.36</x:v>
      </x:c>
      <x:c r="I284" s="49" t="n">
        <x:v>348277.34</x:v>
      </x:c>
      <x:c r="J284" s="48" t="n">
        <x:f>IF(COUNT(B284:C284)&lt;2,"",B284-C284)</x:f>
        <x:v>-104.16000000000003</x:v>
      </x:c>
      <x:c r="K284" s="48" t="n">
        <x:f>IF(COUNT(D284,F284)&lt;2,"",D284-F284)</x:f>
        <x:v>14.199999999999989</x:v>
      </x:c>
      <x:c r="L284" s="48" t="n">
        <x:f>IF(COUNT(E284,G284)&lt;2,"",E284-G284)</x:f>
        <x:v>17.039999999999964</x:v>
      </x:c>
      <x:c r="M284" s="31" t="str">
        <x:v>网站结构化接口</x:v>
      </x:c>
      <x:c r="N284" s="36" t="d">
        <x:v>2026-10-28T14:16:22.777Z</x:v>
      </x:c>
    </x:row>
    <x:row r="285">
      <x:c r="A285" s="36" t="d">
        <x:v>2025-10-11T00:00:00.000Z</x:v>
      </x:c>
      <x:c r="B285" s="48" t="n">
        <x:v>253.14</x:v>
      </x:c>
      <x:c r="C285" s="48" t="n">
        <x:v>336.38</x:v>
      </x:c>
      <x:c r="D285" s="48" t="n">
        <x:v>259.51</x:v>
      </x:c>
      <x:c r="E285" s="48" t="n">
        <x:v>337.51</x:v>
      </x:c>
      <x:c r="F285" s="48" t="n">
        <x:v>220.3</x:v>
      </x:c>
      <x:c r="G285" s="48" t="n">
        <x:v>327.24</x:v>
      </x:c>
      <x:c r="H285" s="49" t="n">
        <x:v>339352.74</x:v>
      </x:c>
      <x:c r="I285" s="49" t="n">
        <x:v>357127.23</x:v>
      </x:c>
      <x:c r="J285" s="48" t="n">
        <x:f>IF(COUNT(B285:C285)&lt;2,"",B285-C285)</x:f>
        <x:v>-83.24000000000001</x:v>
      </x:c>
      <x:c r="K285" s="48" t="n">
        <x:f>IF(COUNT(D285,F285)&lt;2,"",D285-F285)</x:f>
        <x:v>39.20999999999998</x:v>
      </x:c>
      <x:c r="L285" s="48" t="n">
        <x:f>IF(COUNT(E285,G285)&lt;2,"",E285-G285)</x:f>
        <x:v>10.269999999999982</x:v>
      </x:c>
      <x:c r="M285" s="31" t="str">
        <x:v>网站结构化接口</x:v>
      </x:c>
      <x:c r="N285" s="36" t="d">
        <x:v>2026-10-28T14:16:22.777Z</x:v>
      </x:c>
    </x:row>
    <x:row r="286">
      <x:c r="A286" s="36" t="d">
        <x:v>2025-10-12T00:00:00.000Z</x:v>
      </x:c>
      <x:c r="B286" s="48" t="n">
        <x:v>192.41</x:v>
      </x:c>
      <x:c r="C286" s="48" t="n">
        <x:v>279.69</x:v>
      </x:c>
      <x:c r="D286" s="48" t="n">
        <x:v>198.54</x:v>
      </x:c>
      <x:c r="E286" s="48" t="n">
        <x:v>280.93</x:v>
      </x:c>
      <x:c r="F286" s="48" t="n">
        <x:v>154.45</x:v>
      </x:c>
      <x:c r="G286" s="48" t="n">
        <x:v>267.56</x:v>
      </x:c>
      <x:c r="H286" s="49" t="n">
        <x:v>339856.4</x:v>
      </x:c>
      <x:c r="I286" s="49" t="n">
        <x:v>353036.71</x:v>
      </x:c>
      <x:c r="J286" s="48" t="n">
        <x:f>IF(COUNT(B286:C286)&lt;2,"",B286-C286)</x:f>
        <x:v>-87.28</x:v>
      </x:c>
      <x:c r="K286" s="48" t="n">
        <x:f>IF(COUNT(D286,F286)&lt;2,"",D286-F286)</x:f>
        <x:v>44.09</x:v>
      </x:c>
      <x:c r="L286" s="48" t="n">
        <x:f>IF(COUNT(E286,G286)&lt;2,"",E286-G286)</x:f>
        <x:v>13.370000000000005</x:v>
      </x:c>
      <x:c r="M286" s="31" t="str">
        <x:v>网站结构化接口</x:v>
      </x:c>
      <x:c r="N286" s="36" t="d">
        <x:v>2026-10-28T14:16:22.777Z</x:v>
      </x:c>
    </x:row>
    <x:row r="287">
      <x:c r="A287" s="36" t="d">
        <x:v>2025-10-13T00:00:00.000Z</x:v>
      </x:c>
      <x:c r="B287" s="48" t="n">
        <x:v>142.67</x:v>
      </x:c>
      <x:c r="C287" s="48" t="n">
        <x:v>157.41</x:v>
      </x:c>
      <x:c r="D287" s="48" t="n">
        <x:v>170.9</x:v>
      </x:c>
      <x:c r="E287" s="48" t="n">
        <x:v>189.45</x:v>
      </x:c>
      <x:c r="F287" s="48" t="n">
        <x:v>81.13</x:v>
      </x:c>
      <x:c r="G287" s="48" t="n">
        <x:v>69.81</x:v>
      </x:c>
      <x:c r="H287" s="49" t="n">
        <x:v>334984.46</x:v>
      </x:c>
      <x:c r="I287" s="49" t="n">
        <x:v>312979.79</x:v>
      </x:c>
      <x:c r="J287" s="48" t="n">
        <x:f>IF(COUNT(B287:C287)&lt;2,"",B287-C287)</x:f>
        <x:v>-14.740000000000009</x:v>
      </x:c>
      <x:c r="K287" s="48" t="n">
        <x:f>IF(COUNT(D287,F287)&lt;2,"",D287-F287)</x:f>
        <x:v>89.77000000000001</x:v>
      </x:c>
      <x:c r="L287" s="48" t="n">
        <x:f>IF(COUNT(E287,G287)&lt;2,"",E287-G287)</x:f>
        <x:v>119.63999999999999</x:v>
      </x:c>
      <x:c r="M287" s="31" t="str">
        <x:v>网站结构化接口</x:v>
      </x:c>
      <x:c r="N287" s="36" t="d">
        <x:v>2026-10-28T14:16:22.777Z</x:v>
      </x:c>
    </x:row>
    <x:row r="288">
      <x:c r="A288" s="36" t="d">
        <x:v>2025-10-14T00:00:00.000Z</x:v>
      </x:c>
      <x:c r="B288" s="48" t="n">
        <x:v>144.32</x:v>
      </x:c>
      <x:c r="C288" s="48" t="n">
        <x:v>209.17</x:v>
      </x:c>
      <x:c r="D288" s="48" t="n">
        <x:v>168.29</x:v>
      </x:c>
      <x:c r="E288" s="48" t="n">
        <x:v>232.17</x:v>
      </x:c>
      <x:c r="F288" s="48" t="n">
        <x:v>99.04</x:v>
      </x:c>
      <x:c r="G288" s="48" t="n">
        <x:v>156.28</x:v>
      </x:c>
      <x:c r="H288" s="49" t="n">
        <x:v>317273.65</x:v>
      </x:c>
      <x:c r="I288" s="49" t="n">
        <x:v>339533.12</x:v>
      </x:c>
      <x:c r="J288" s="48" t="n">
        <x:f>IF(COUNT(B288:C288)&lt;2,"",B288-C288)</x:f>
        <x:v>-64.85</x:v>
      </x:c>
      <x:c r="K288" s="48" t="n">
        <x:f>IF(COUNT(D288,F288)&lt;2,"",D288-F288)</x:f>
        <x:v>69.24999999999999</x:v>
      </x:c>
      <x:c r="L288" s="48" t="n">
        <x:f>IF(COUNT(E288,G288)&lt;2,"",E288-G288)</x:f>
        <x:v>75.88999999999999</x:v>
      </x:c>
      <x:c r="M288" s="31" t="str">
        <x:v>网站结构化接口</x:v>
      </x:c>
      <x:c r="N288" s="36" t="d">
        <x:v>2026-10-28T14:16:22.777Z</x:v>
      </x:c>
    </x:row>
    <x:row r="289">
      <x:c r="A289" s="36" t="d">
        <x:v>2025-10-15T00:00:00.000Z</x:v>
      </x:c>
      <x:c r="B289" s="48" t="n">
        <x:v>206.48</x:v>
      </x:c>
      <x:c r="C289" s="48" t="n">
        <x:v>221.03</x:v>
      </x:c>
      <x:c r="D289" s="48" t="n">
        <x:v>231.97</x:v>
      </x:c>
      <x:c r="E289" s="48" t="n">
        <x:v>245.95</x:v>
      </x:c>
      <x:c r="F289" s="48" t="n">
        <x:v>114.41</x:v>
      </x:c>
      <x:c r="G289" s="48" t="n">
        <x:v>120.05</x:v>
      </x:c>
      <x:c r="H289" s="49" t="n">
        <x:v>334154.52</x:v>
      </x:c>
      <x:c r="I289" s="49" t="n">
        <x:v>327678.2</x:v>
      </x:c>
      <x:c r="J289" s="48" t="n">
        <x:f>IF(COUNT(B289:C289)&lt;2,"",B289-C289)</x:f>
        <x:v>-14.550000000000011</x:v>
      </x:c>
      <x:c r="K289" s="48" t="n">
        <x:f>IF(COUNT(D289,F289)&lt;2,"",D289-F289)</x:f>
        <x:v>117.56</x:v>
      </x:c>
      <x:c r="L289" s="48" t="n">
        <x:f>IF(COUNT(E289,G289)&lt;2,"",E289-G289)</x:f>
        <x:v>125.89999999999999</x:v>
      </x:c>
      <x:c r="M289" s="31" t="str">
        <x:v>网站结构化接口</x:v>
      </x:c>
      <x:c r="N289" s="36" t="d">
        <x:v>2026-10-28T14:16:22.777Z</x:v>
      </x:c>
    </x:row>
    <x:row r="290">
      <x:c r="A290" s="36" t="d">
        <x:v>2025-10-16T00:00:00.000Z</x:v>
      </x:c>
      <x:c r="B290" s="48" t="n">
        <x:v>224.42</x:v>
      </x:c>
      <x:c r="C290" s="48" t="n">
        <x:v>294.29</x:v>
      </x:c>
      <x:c r="D290" s="48" t="n">
        <x:v>242.56</x:v>
      </x:c>
      <x:c r="E290" s="48" t="n">
        <x:v>322.86</x:v>
      </x:c>
      <x:c r="F290" s="48" t="n">
        <x:v>177.19</x:v>
      </x:c>
      <x:c r="G290" s="48" t="n">
        <x:v>218.36</x:v>
      </x:c>
      <x:c r="H290" s="49" t="n">
        <x:v>373825.96</x:v>
      </x:c>
      <x:c r="I290" s="49" t="n">
        <x:v>371003.45</x:v>
      </x:c>
      <x:c r="J290" s="48" t="n">
        <x:f>IF(COUNT(B290:C290)&lt;2,"",B290-C290)</x:f>
        <x:v>-69.87000000000003</x:v>
      </x:c>
      <x:c r="K290" s="48" t="n">
        <x:f>IF(COUNT(D290,F290)&lt;2,"",D290-F290)</x:f>
        <x:v>65.37</x:v>
      </x:c>
      <x:c r="L290" s="48" t="n">
        <x:f>IF(COUNT(E290,G290)&lt;2,"",E290-G290)</x:f>
        <x:v>104.5</x:v>
      </x:c>
      <x:c r="M290" s="31" t="str">
        <x:v>网站结构化接口</x:v>
      </x:c>
      <x:c r="N290" s="36" t="d">
        <x:v>2026-10-28T14:16:22.777Z</x:v>
      </x:c>
    </x:row>
    <x:row r="291">
      <x:c r="A291" s="36" t="d">
        <x:v>2025-10-17T00:00:00.000Z</x:v>
      </x:c>
      <x:c r="B291" s="48" t="n">
        <x:v>217.15</x:v>
      </x:c>
      <x:c r="C291" s="48" t="n">
        <x:v>228.9</x:v>
      </x:c>
      <x:c r="D291" s="48" t="n">
        <x:v>244.39</x:v>
      </x:c>
      <x:c r="E291" s="48" t="n">
        <x:v>257.4</x:v>
      </x:c>
      <x:c r="F291" s="48" t="n">
        <x:v>141.26</x:v>
      </x:c>
      <x:c r="G291" s="48" t="n">
        <x:v>146.49</x:v>
      </x:c>
      <x:c r="H291" s="49" t="n">
        <x:v>370505.73</x:v>
      </x:c>
      <x:c r="I291" s="49" t="n">
        <x:v>377278.51</x:v>
      </x:c>
      <x:c r="J291" s="48" t="n">
        <x:f>IF(COUNT(B291:C291)&lt;2,"",B291-C291)</x:f>
        <x:v>-11.75</x:v>
      </x:c>
      <x:c r="K291" s="48" t="n">
        <x:f>IF(COUNT(D291,F291)&lt;2,"",D291-F291)</x:f>
        <x:v>103.13</x:v>
      </x:c>
      <x:c r="L291" s="48" t="n">
        <x:f>IF(COUNT(E291,G291)&lt;2,"",E291-G291)</x:f>
        <x:v>110.90999999999997</x:v>
      </x:c>
      <x:c r="M291" s="31" t="str">
        <x:v>网站结构化接口</x:v>
      </x:c>
      <x:c r="N291" s="36" t="d">
        <x:v>2026-10-28T14:16:22.777Z</x:v>
      </x:c>
    </x:row>
    <x:row r="292">
      <x:c r="A292" s="36" t="d">
        <x:v>2025-10-18T00:00:00.000Z</x:v>
      </x:c>
      <x:c r="B292" s="48" t="n">
        <x:v>362.8</x:v>
      </x:c>
      <x:c r="C292" s="48" t="n">
        <x:v>550.06</x:v>
      </x:c>
      <x:c r="D292" s="48" t="n">
        <x:v>406.41</x:v>
      </x:c>
      <x:c r="E292" s="48" t="n">
        <x:v>585.22</x:v>
      </x:c>
      <x:c r="F292" s="48" t="n">
        <x:v>213.72</x:v>
      </x:c>
      <x:c r="G292" s="48" t="n">
        <x:v>394</x:v>
      </x:c>
      <x:c r="H292" s="49" t="n">
        <x:v>372088.13</x:v>
      </x:c>
      <x:c r="I292" s="49" t="n">
        <x:v>398732.78</x:v>
      </x:c>
      <x:c r="J292" s="48" t="n">
        <x:f>IF(COUNT(B292:C292)&lt;2,"",B292-C292)</x:f>
        <x:v>-187.25999999999993</x:v>
      </x:c>
      <x:c r="K292" s="48" t="n">
        <x:f>IF(COUNT(D292,F292)&lt;2,"",D292-F292)</x:f>
        <x:v>192.69000000000003</x:v>
      </x:c>
      <x:c r="L292" s="48" t="n">
        <x:f>IF(COUNT(E292,G292)&lt;2,"",E292-G292)</x:f>
        <x:v>191.22000000000003</x:v>
      </x:c>
      <x:c r="M292" s="31" t="str">
        <x:v>网站结构化接口</x:v>
      </x:c>
      <x:c r="N292" s="36" t="d">
        <x:v>2026-10-28T14:16:22.777Z</x:v>
      </x:c>
    </x:row>
    <x:row r="293">
      <x:c r="A293" s="36" t="d">
        <x:v>2025-10-19T00:00:00.000Z</x:v>
      </x:c>
      <x:c r="B293" s="48" t="n">
        <x:v>190.52</x:v>
      </x:c>
      <x:c r="C293" s="48" t="n">
        <x:v>237.79</x:v>
      </x:c>
      <x:c r="D293" s="48" t="n">
        <x:v>210.29</x:v>
      </x:c>
      <x:c r="E293" s="48" t="n">
        <x:v>257.94</x:v>
      </x:c>
      <x:c r="F293" s="48" t="n">
        <x:v>130.53</x:v>
      </x:c>
      <x:c r="G293" s="48" t="n">
        <x:v>168.29</x:v>
      </x:c>
      <x:c r="H293" s="49" t="n">
        <x:v>365820.82</x:v>
      </x:c>
      <x:c r="I293" s="49" t="n">
        <x:v>366904.7</x:v>
      </x:c>
      <x:c r="J293" s="48" t="n">
        <x:f>IF(COUNT(B293:C293)&lt;2,"",B293-C293)</x:f>
        <x:v>-47.26999999999998</x:v>
      </x:c>
      <x:c r="K293" s="48" t="n">
        <x:f>IF(COUNT(D293,F293)&lt;2,"",D293-F293)</x:f>
        <x:v>79.75999999999999</x:v>
      </x:c>
      <x:c r="L293" s="48" t="n">
        <x:f>IF(COUNT(E293,G293)&lt;2,"",E293-G293)</x:f>
        <x:v>89.65</x:v>
      </x:c>
      <x:c r="M293" s="31" t="str">
        <x:v>网站结构化接口</x:v>
      </x:c>
      <x:c r="N293" s="36" t="d">
        <x:v>2026-10-28T14:16:22.777Z</x:v>
      </x:c>
    </x:row>
    <x:row r="294">
      <x:c r="A294" s="36" t="d">
        <x:v>2025-10-20T00:00:00.000Z</x:v>
      </x:c>
      <x:c r="B294" s="48" t="n">
        <x:v>408.3</x:v>
      </x:c>
      <x:c r="C294" s="48" t="n">
        <x:v>574.26</x:v>
      </x:c>
      <x:c r="D294" s="48" t="n">
        <x:v>420.6</x:v>
      </x:c>
      <x:c r="E294" s="48" t="n">
        <x:v>563.82</x:v>
      </x:c>
      <x:c r="F294" s="48" t="n">
        <x:v>335.62</x:v>
      </x:c>
      <x:c r="G294" s="48" t="n">
        <x:v>667.14</x:v>
      </x:c>
      <x:c r="H294" s="49" t="n">
        <x:v>423800.22</x:v>
      </x:c>
      <x:c r="I294" s="49" t="n">
        <x:v>428505.28</x:v>
      </x:c>
      <x:c r="J294" s="48" t="n">
        <x:f>IF(COUNT(B294:C294)&lt;2,"",B294-C294)</x:f>
        <x:v>-165.95999999999998</x:v>
      </x:c>
      <x:c r="K294" s="48" t="n">
        <x:f>IF(COUNT(D294,F294)&lt;2,"",D294-F294)</x:f>
        <x:v>84.98000000000002</x:v>
      </x:c>
      <x:c r="L294" s="48" t="n">
        <x:f>IF(COUNT(E294,G294)&lt;2,"",E294-G294)</x:f>
        <x:v>-103.31999999999994</x:v>
      </x:c>
      <x:c r="M294" s="31" t="str">
        <x:v>网站结构化接口</x:v>
      </x:c>
      <x:c r="N294" s="36" t="d">
        <x:v>2026-10-28T14:16:22.777Z</x:v>
      </x:c>
    </x:row>
    <x:row r="295">
      <x:c r="A295" s="36" t="d">
        <x:v>2025-10-21T00:00:00.000Z</x:v>
      </x:c>
      <x:c r="B295" s="48" t="n">
        <x:v>314.27</x:v>
      </x:c>
      <x:c r="C295" s="48" t="n">
        <x:v>304.62</x:v>
      </x:c>
      <x:c r="D295" s="48" t="n">
        <x:v>334.62</x:v>
      </x:c>
      <x:c r="E295" s="48" t="n">
        <x:v>320.31</x:v>
      </x:c>
      <x:c r="F295" s="48" t="n">
        <x:v>220.64</x:v>
      </x:c>
      <x:c r="G295" s="48" t="n">
        <x:v>231.93</x:v>
      </x:c>
      <x:c r="H295" s="49" t="n">
        <x:v>412031.17</x:v>
      </x:c>
      <x:c r="I295" s="49" t="n">
        <x:v>423151.68</x:v>
      </x:c>
      <x:c r="J295" s="48" t="n">
        <x:f>IF(COUNT(B295:C295)&lt;2,"",B295-C295)</x:f>
        <x:v>9.649999999999977</x:v>
      </x:c>
      <x:c r="K295" s="48" t="n">
        <x:f>IF(COUNT(D295,F295)&lt;2,"",D295-F295)</x:f>
        <x:v>113.98000000000002</x:v>
      </x:c>
      <x:c r="L295" s="48" t="n">
        <x:f>IF(COUNT(E295,G295)&lt;2,"",E295-G295)</x:f>
        <x:v>88.38</x:v>
      </x:c>
      <x:c r="M295" s="31" t="str">
        <x:v>网站结构化接口</x:v>
      </x:c>
      <x:c r="N295" s="36" t="d">
        <x:v>2026-10-28T14:16:22.777Z</x:v>
      </x:c>
    </x:row>
    <x:row r="296">
      <x:c r="A296" s="36" t="d">
        <x:v>2025-10-22T00:00:00.000Z</x:v>
      </x:c>
      <x:c r="B296" s="48" t="n">
        <x:v>289.66</x:v>
      </x:c>
      <x:c r="C296" s="48" t="n">
        <x:v>361.84</x:v>
      </x:c>
      <x:c r="D296" s="48" t="n">
        <x:v>298.73</x:v>
      </x:c>
      <x:c r="E296" s="48" t="n">
        <x:v>371.95</x:v>
      </x:c>
      <x:c r="F296" s="48" t="n">
        <x:v>231.78</x:v>
      </x:c>
      <x:c r="G296" s="48" t="n">
        <x:v>289.68</x:v>
      </x:c>
      <x:c r="H296" s="49" t="n">
        <x:v>439540.29</x:v>
      </x:c>
      <x:c r="I296" s="49" t="n">
        <x:v>460102.13</x:v>
      </x:c>
      <x:c r="J296" s="48" t="n">
        <x:f>IF(COUNT(B296:C296)&lt;2,"",B296-C296)</x:f>
        <x:v>-72.17999999999995</x:v>
      </x:c>
      <x:c r="K296" s="48" t="n">
        <x:f>IF(COUNT(D296,F296)&lt;2,"",D296-F296)</x:f>
        <x:v>66.95000000000002</x:v>
      </x:c>
      <x:c r="L296" s="48" t="n">
        <x:f>IF(COUNT(E296,G296)&lt;2,"",E296-G296)</x:f>
        <x:v>82.26999999999998</x:v>
      </x:c>
      <x:c r="M296" s="31" t="str">
        <x:v>网站结构化接口</x:v>
      </x:c>
      <x:c r="N296" s="36" t="d">
        <x:v>2026-10-28T14:16:22.777Z</x:v>
      </x:c>
    </x:row>
    <x:row r="297">
      <x:c r="A297" s="36" t="d">
        <x:v>2025-10-23T00:00:00.000Z</x:v>
      </x:c>
      <x:c r="B297" s="48" t="n">
        <x:v>256.71</x:v>
      </x:c>
      <x:c r="C297" s="48" t="n">
        <x:v>379.97</x:v>
      </x:c>
      <x:c r="D297" s="48" t="n">
        <x:v>269.07</x:v>
      </x:c>
      <x:c r="E297" s="48" t="n">
        <x:v>393.45</x:v>
      </x:c>
      <x:c r="F297" s="48" t="n">
        <x:v>166.65</x:v>
      </x:c>
      <x:c r="G297" s="48" t="n">
        <x:v>249.64</x:v>
      </x:c>
      <x:c r="H297" s="49" t="n">
        <x:v>440742.81</x:v>
      </x:c>
      <x:c r="I297" s="49" t="n">
        <x:v>456400.26</x:v>
      </x:c>
      <x:c r="J297" s="48" t="n">
        <x:f>IF(COUNT(B297:C297)&lt;2,"",B297-C297)</x:f>
        <x:v>-123.26000000000005</x:v>
      </x:c>
      <x:c r="K297" s="48" t="n">
        <x:f>IF(COUNT(D297,F297)&lt;2,"",D297-F297)</x:f>
        <x:v>102.41999999999999</x:v>
      </x:c>
      <x:c r="L297" s="48" t="n">
        <x:f>IF(COUNT(E297,G297)&lt;2,"",E297-G297)</x:f>
        <x:v>143.81</x:v>
      </x:c>
      <x:c r="M297" s="31" t="str">
        <x:v>网站结构化接口</x:v>
      </x:c>
      <x:c r="N297" s="36" t="d">
        <x:v>2026-10-28T14:16:22.777Z</x:v>
      </x:c>
    </x:row>
    <x:row r="298">
      <x:c r="A298" s="36" t="d">
        <x:v>2025-10-24T00:00:00.000Z</x:v>
      </x:c>
      <x:c r="B298" s="48" t="n">
        <x:v>354.92</x:v>
      </x:c>
      <x:c r="C298" s="48" t="n">
        <x:v>446.85</x:v>
      </x:c>
      <x:c r="D298" s="48" t="n">
        <x:v>370.97</x:v>
      </x:c>
      <x:c r="E298" s="48" t="n">
        <x:v>464.49</x:v>
      </x:c>
      <x:c r="F298" s="48" t="n">
        <x:v>236.1</x:v>
      </x:c>
      <x:c r="G298" s="48" t="n">
        <x:v>279.13</x:v>
      </x:c>
      <x:c r="H298" s="49" t="n">
        <x:v>459019.9</x:v>
      </x:c>
      <x:c r="I298" s="49" t="n">
        <x:v>474694.29</x:v>
      </x:c>
      <x:c r="J298" s="48" t="n">
        <x:f>IF(COUNT(B298:C298)&lt;2,"",B298-C298)</x:f>
        <x:v>-91.93</x:v>
      </x:c>
      <x:c r="K298" s="48" t="n">
        <x:f>IF(COUNT(D298,F298)&lt;2,"",D298-F298)</x:f>
        <x:v>134.87000000000003</x:v>
      </x:c>
      <x:c r="L298" s="48" t="n">
        <x:f>IF(COUNT(E298,G298)&lt;2,"",E298-G298)</x:f>
        <x:v>185.36</x:v>
      </x:c>
      <x:c r="M298" s="31" t="str">
        <x:v>网站结构化接口</x:v>
      </x:c>
      <x:c r="N298" s="36" t="d">
        <x:v>2026-10-28T14:16:22.777Z</x:v>
      </x:c>
    </x:row>
    <x:row r="299">
      <x:c r="A299" s="36" t="d">
        <x:v>2025-10-25T00:00:00.000Z</x:v>
      </x:c>
      <x:c r="B299" s="48" t="n">
        <x:v>315.53</x:v>
      </x:c>
      <x:c r="C299" s="48" t="n">
        <x:v>312.33</x:v>
      </x:c>
      <x:c r="D299" s="48" t="n">
        <x:v>334.92</x:v>
      </x:c>
      <x:c r="E299" s="48" t="n">
        <x:v>327.24</x:v>
      </x:c>
      <x:c r="F299" s="48" t="n">
        <x:v>171.34</x:v>
      </x:c>
      <x:c r="G299" s="48" t="n">
        <x:v>183.37</x:v>
      </x:c>
      <x:c r="H299" s="49" t="n">
        <x:v>450347.63</x:v>
      </x:c>
      <x:c r="I299" s="49" t="n">
        <x:v>453249.62</x:v>
      </x:c>
      <x:c r="J299" s="48" t="n">
        <x:f>IF(COUNT(B299:C299)&lt;2,"",B299-C299)</x:f>
        <x:v>3.1999999999999886</x:v>
      </x:c>
      <x:c r="K299" s="48" t="n">
        <x:f>IF(COUNT(D299,F299)&lt;2,"",D299-F299)</x:f>
        <x:v>163.58</x:v>
      </x:c>
      <x:c r="L299" s="48" t="n">
        <x:f>IF(COUNT(E299,G299)&lt;2,"",E299-G299)</x:f>
        <x:v>143.87</x:v>
      </x:c>
      <x:c r="M299" s="31" t="str">
        <x:v>网站结构化接口</x:v>
      </x:c>
      <x:c r="N299" s="36" t="d">
        <x:v>2026-10-28T14:16:22.777Z</x:v>
      </x:c>
    </x:row>
    <x:row r="300">
      <x:c r="A300" s="36" t="d">
        <x:v>2025-10-26T00:00:00.000Z</x:v>
      </x:c>
      <x:c r="B300" s="48" t="n">
        <x:v>311.17</x:v>
      </x:c>
      <x:c r="C300" s="48" t="n">
        <x:v>355.29</x:v>
      </x:c>
      <x:c r="D300" s="48" t="n">
        <x:v>344.84</x:v>
      </x:c>
      <x:c r="E300" s="48" t="n">
        <x:v>390.38</x:v>
      </x:c>
      <x:c r="F300" s="48" t="n">
        <x:v>143.85</x:v>
      </x:c>
      <x:c r="G300" s="48" t="n">
        <x:v>137.43</x:v>
      </x:c>
      <x:c r="H300" s="49" t="n">
        <x:v>434696.52</x:v>
      </x:c>
      <x:c r="I300" s="49" t="n">
        <x:v>417734.11</x:v>
      </x:c>
      <x:c r="J300" s="48" t="n">
        <x:f>IF(COUNT(B300:C300)&lt;2,"",B300-C300)</x:f>
        <x:v>-44.120000000000005</x:v>
      </x:c>
      <x:c r="K300" s="48" t="n">
        <x:f>IF(COUNT(D300,F300)&lt;2,"",D300-F300)</x:f>
        <x:v>200.98999999999998</x:v>
      </x:c>
      <x:c r="L300" s="48" t="n">
        <x:f>IF(COUNT(E300,G300)&lt;2,"",E300-G300)</x:f>
        <x:v>252.95</x:v>
      </x:c>
      <x:c r="M300" s="31" t="str">
        <x:v>网站结构化接口</x:v>
      </x:c>
      <x:c r="N300" s="36" t="d">
        <x:v>2026-10-28T14:16:22.777Z</x:v>
      </x:c>
    </x:row>
    <x:row r="301">
      <x:c r="A301" s="36" t="d">
        <x:v>2025-10-27T00:00:00.000Z</x:v>
      </x:c>
      <x:c r="B301" s="48" t="n">
        <x:v>241.86</x:v>
      </x:c>
      <x:c r="C301" s="48" t="n">
        <x:v>282.73</x:v>
      </x:c>
      <x:c r="D301" s="48" t="n">
        <x:v>277.6</x:v>
      </x:c>
      <x:c r="E301" s="48" t="n">
        <x:v>322.13</x:v>
      </x:c>
      <x:c r="F301" s="48" t="n">
        <x:v>108.23</x:v>
      </x:c>
      <x:c r="G301" s="48" t="n">
        <x:v>118.93</x:v>
      </x:c>
      <x:c r="H301" s="49" t="n">
        <x:v>420610.45</x:v>
      </x:c>
      <x:c r="I301" s="49" t="n">
        <x:v>431921.8</x:v>
      </x:c>
      <x:c r="J301" s="48" t="n">
        <x:f>IF(COUNT(B301:C301)&lt;2,"",B301-C301)</x:f>
        <x:v>-40.870000000000005</x:v>
      </x:c>
      <x:c r="K301" s="48" t="n">
        <x:f>IF(COUNT(D301,F301)&lt;2,"",D301-F301)</x:f>
        <x:v>169.37</x:v>
      </x:c>
      <x:c r="L301" s="48" t="n">
        <x:f>IF(COUNT(E301,G301)&lt;2,"",E301-G301)</x:f>
        <x:v>203.2</x:v>
      </x:c>
      <x:c r="M301" s="31" t="str">
        <x:v>网站结构化接口</x:v>
      </x:c>
      <x:c r="N301" s="36" t="d">
        <x:v>2026-10-28T14:16:22.777Z</x:v>
      </x:c>
    </x:row>
    <x:row r="302">
      <x:c r="A302" s="36" t="d">
        <x:v>2025-10-28T00:00:00.000Z</x:v>
      </x:c>
      <x:c r="B302" s="48" t="n">
        <x:v>362.42</x:v>
      </x:c>
      <x:c r="C302" s="48" t="n">
        <x:v>447.77</x:v>
      </x:c>
      <x:c r="D302" s="48" t="n">
        <x:v>420.64</x:v>
      </x:c>
      <x:c r="E302" s="48" t="n">
        <x:v>507.39</x:v>
      </x:c>
      <x:c r="F302" s="48" t="n">
        <x:v>117.3</x:v>
      </x:c>
      <x:c r="G302" s="48" t="n">
        <x:v>146.83</x:v>
      </x:c>
      <x:c r="H302" s="49" t="n">
        <x:v>424947.69</x:v>
      </x:c>
      <x:c r="I302" s="49" t="n">
        <x:v>425468.85</x:v>
      </x:c>
      <x:c r="J302" s="48" t="n">
        <x:f>IF(COUNT(B302:C302)&lt;2,"",B302-C302)</x:f>
        <x:v>-85.34999999999997</x:v>
      </x:c>
      <x:c r="K302" s="48" t="n">
        <x:f>IF(COUNT(D302,F302)&lt;2,"",D302-F302)</x:f>
        <x:v>303.34</x:v>
      </x:c>
      <x:c r="L302" s="48" t="n">
        <x:f>IF(COUNT(E302,G302)&lt;2,"",E302-G302)</x:f>
        <x:v>360.55999999999995</x:v>
      </x:c>
      <x:c r="M302" s="31" t="str">
        <x:v>网站结构化接口</x:v>
      </x:c>
      <x:c r="N302" s="36" t="d">
        <x:v>2026-10-28T14:16:22.777Z</x:v>
      </x:c>
    </x:row>
    <x:row r="303">
      <x:c r="A303" s="36" t="d">
        <x:v>2025-10-29T00:00:00.000Z</x:v>
      </x:c>
      <x:c r="B303" s="48" t="n">
        <x:v>313.31</x:v>
      </x:c>
      <x:c r="C303" s="48" t="n">
        <x:v>319.6</x:v>
      </x:c>
      <x:c r="D303" s="48" t="n">
        <x:v>373.9</x:v>
      </x:c>
      <x:c r="E303" s="48" t="n">
        <x:v>358.73</x:v>
      </x:c>
      <x:c r="F303" s="48" t="n">
        <x:v>98.23</x:v>
      </x:c>
      <x:c r="G303" s="48" t="n">
        <x:v>161</x:v>
      </x:c>
      <x:c r="H303" s="49" t="n">
        <x:v>429471.78</x:v>
      </x:c>
      <x:c r="I303" s="49" t="n">
        <x:v>440543.04</x:v>
      </x:c>
      <x:c r="J303" s="48" t="n">
        <x:f>IF(COUNT(B303:C303)&lt;2,"",B303-C303)</x:f>
        <x:v>-6.2900000000000205</x:v>
      </x:c>
      <x:c r="K303" s="48" t="n">
        <x:f>IF(COUNT(D303,F303)&lt;2,"",D303-F303)</x:f>
        <x:v>275.66999999999996</x:v>
      </x:c>
      <x:c r="L303" s="48" t="n">
        <x:f>IF(COUNT(E303,G303)&lt;2,"",E303-G303)</x:f>
        <x:v>197.73000000000002</x:v>
      </x:c>
      <x:c r="M303" s="31" t="str">
        <x:v>网站结构化接口</x:v>
      </x:c>
      <x:c r="N303" s="36" t="d">
        <x:v>2026-10-28T14:16:22.777Z</x:v>
      </x:c>
    </x:row>
    <x:row r="304">
      <x:c r="A304" s="36" t="d">
        <x:v>2025-10-30T00:00:00.000Z</x:v>
      </x:c>
      <x:c r="B304" s="48" t="n">
        <x:v>304.2</x:v>
      </x:c>
      <x:c r="C304" s="48" t="n">
        <x:v>275.67</x:v>
      </x:c>
      <x:c r="D304" s="48" t="n">
        <x:v>344.69</x:v>
      </x:c>
      <x:c r="E304" s="48" t="n">
        <x:v>303.16</x:v>
      </x:c>
      <x:c r="F304" s="48" t="n">
        <x:v>131</x:v>
      </x:c>
      <x:c r="G304" s="48" t="n">
        <x:v>150.83</x:v>
      </x:c>
      <x:c r="H304" s="49" t="n">
        <x:v>422353.23</x:v>
      </x:c>
      <x:c r="I304" s="49" t="n">
        <x:v>404095.68</x:v>
      </x:c>
      <x:c r="J304" s="48" t="n">
        <x:f>IF(COUNT(B304:C304)&lt;2,"",B304-C304)</x:f>
        <x:v>28.529999999999973</x:v>
      </x:c>
      <x:c r="K304" s="48" t="n">
        <x:f>IF(COUNT(D304,F304)&lt;2,"",D304-F304)</x:f>
        <x:v>213.69</x:v>
      </x:c>
      <x:c r="L304" s="48" t="n">
        <x:f>IF(COUNT(E304,G304)&lt;2,"",E304-G304)</x:f>
        <x:v>152.33</x:v>
      </x:c>
      <x:c r="M304" s="31" t="str">
        <x:v>网站结构化接口</x:v>
      </x:c>
      <x:c r="N304" s="36" t="d">
        <x:v>2026-10-28T14:16:22.777Z</x:v>
      </x:c>
    </x:row>
    <x:row r="305">
      <x:c r="A305" s="36" t="d">
        <x:v>2025-10-31T00:00:00.000Z</x:v>
      </x:c>
      <x:c r="B305" s="48" t="n">
        <x:v>317.07</x:v>
      </x:c>
      <x:c r="C305" s="48" t="n">
        <x:v>309.67</x:v>
      </x:c>
      <x:c r="D305" s="48" t="n">
        <x:v>361.66</x:v>
      </x:c>
      <x:c r="E305" s="48" t="n">
        <x:v>350.86</x:v>
      </x:c>
      <x:c r="F305" s="48" t="n">
        <x:v>135.98</x:v>
      </x:c>
      <x:c r="G305" s="48" t="n">
        <x:v>144.73</x:v>
      </x:c>
      <x:c r="H305" s="49" t="n">
        <x:v>418199.56</x:v>
      </x:c>
      <x:c r="I305" s="49" t="n">
        <x:v>415775.28</x:v>
      </x:c>
      <x:c r="J305" s="48" t="n">
        <x:f>IF(COUNT(B305:C305)&lt;2,"",B305-C305)</x:f>
        <x:v>7.399999999999977</x:v>
      </x:c>
      <x:c r="K305" s="48" t="n">
        <x:f>IF(COUNT(D305,F305)&lt;2,"",D305-F305)</x:f>
        <x:v>225.68000000000004</x:v>
      </x:c>
      <x:c r="L305" s="48" t="n">
        <x:f>IF(COUNT(E305,G305)&lt;2,"",E305-G305)</x:f>
        <x:v>206.13000000000002</x:v>
      </x:c>
      <x:c r="M305" s="31" t="str">
        <x:v>网站结构化接口</x:v>
      </x:c>
      <x:c r="N305" s="36" t="d">
        <x:v>2026-10-28T14:16:22.777Z</x:v>
      </x:c>
    </x:row>
    <x:row r="306">
      <x:c r="A306" s="36" t="d">
        <x:v>2025-11-01T00:00:00.000Z</x:v>
      </x:c>
      <x:c r="B306" s="48" t="n">
        <x:v>249.94</x:v>
      </x:c>
      <x:c r="C306" s="48" t="n">
        <x:v>266.49</x:v>
      </x:c>
      <x:c r="D306" s="48" t="n">
        <x:v>278</x:v>
      </x:c>
      <x:c r="E306" s="48" t="n">
        <x:v>294.47</x:v>
      </x:c>
      <x:c r="F306" s="48" t="n">
        <x:v>111.64</x:v>
      </x:c>
      <x:c r="G306" s="48" t="n">
        <x:v>119.12</x:v>
      </x:c>
      <x:c r="H306" s="49" t="n">
        <x:v>414711.94</x:v>
      </x:c>
      <x:c r="I306" s="49" t="n">
        <x:v>415575.6</x:v>
      </x:c>
      <x:c r="J306" s="48" t="n">
        <x:f>IF(COUNT(B306:C306)&lt;2,"",B306-C306)</x:f>
        <x:v>-16.55000000000001</x:v>
      </x:c>
      <x:c r="K306" s="48" t="n">
        <x:f>IF(COUNT(D306,F306)&lt;2,"",D306-F306)</x:f>
        <x:v>166.36</x:v>
      </x:c>
      <x:c r="L306" s="48" t="n">
        <x:f>IF(COUNT(E306,G306)&lt;2,"",E306-G306)</x:f>
        <x:v>175.35000000000002</x:v>
      </x:c>
      <x:c r="M306" s="31" t="str">
        <x:v>网站结构化接口</x:v>
      </x:c>
      <x:c r="N306" s="36" t="d">
        <x:v>2026-10-28T14:16:22.777Z</x:v>
      </x:c>
    </x:row>
    <x:row r="307">
      <x:c r="A307" s="36" t="d">
        <x:v>2025-11-02T00:00:00.000Z</x:v>
      </x:c>
      <x:c r="B307" s="48" t="n">
        <x:v>236.18</x:v>
      </x:c>
      <x:c r="C307" s="48" t="n">
        <x:v>290.89</x:v>
      </x:c>
      <x:c r="D307" s="48" t="n">
        <x:v>267.41</x:v>
      </x:c>
      <x:c r="E307" s="48" t="n">
        <x:v>327.5</x:v>
      </x:c>
      <x:c r="F307" s="48" t="n">
        <x:v>93.36</x:v>
      </x:c>
      <x:c r="G307" s="48" t="n">
        <x:v>118.38</x:v>
      </x:c>
      <x:c r="H307" s="49" t="n">
        <x:v>404457.37</x:v>
      </x:c>
      <x:c r="I307" s="49" t="n">
        <x:v>415054.97</x:v>
      </x:c>
      <x:c r="J307" s="48" t="n">
        <x:f>IF(COUNT(B307:C307)&lt;2,"",B307-C307)</x:f>
        <x:v>-54.70999999999998</x:v>
      </x:c>
      <x:c r="K307" s="48" t="n">
        <x:f>IF(COUNT(D307,F307)&lt;2,"",D307-F307)</x:f>
        <x:v>174.05</x:v>
      </x:c>
      <x:c r="L307" s="48" t="n">
        <x:f>IF(COUNT(E307,G307)&lt;2,"",E307-G307)</x:f>
        <x:v>209.12</x:v>
      </x:c>
      <x:c r="M307" s="31" t="str">
        <x:v>网站结构化接口</x:v>
      </x:c>
      <x:c r="N307" s="36" t="d">
        <x:v>2026-10-28T14:16:22.777Z</x:v>
      </x:c>
    </x:row>
    <x:row r="308">
      <x:c r="A308" s="36" t="d">
        <x:v>2025-11-03T00:00:00.000Z</x:v>
      </x:c>
      <x:c r="B308" s="48" t="n">
        <x:v>161.28</x:v>
      </x:c>
      <x:c r="C308" s="48" t="n">
        <x:v>148.84</x:v>
      </x:c>
      <x:c r="D308" s="48" t="n">
        <x:v>189.42</x:v>
      </x:c>
      <x:c r="E308" s="48" t="n">
        <x:v>175.04</x:v>
      </x:c>
      <x:c r="F308" s="48" t="n">
        <x:v>85.88</x:v>
      </x:c>
      <x:c r="G308" s="48" t="n">
        <x:v>84.05</x:v>
      </x:c>
      <x:c r="H308" s="49" t="n">
        <x:v>420851.64</x:v>
      </x:c>
      <x:c r="I308" s="49" t="n">
        <x:v>418637.19</x:v>
      </x:c>
      <x:c r="J308" s="48" t="n">
        <x:f>IF(COUNT(B308:C308)&lt;2,"",B308-C308)</x:f>
        <x:v>12.439999999999998</x:v>
      </x:c>
      <x:c r="K308" s="48" t="n">
        <x:f>IF(COUNT(D308,F308)&lt;2,"",D308-F308)</x:f>
        <x:v>103.53999999999999</x:v>
      </x:c>
      <x:c r="L308" s="48" t="n">
        <x:f>IF(COUNT(E308,G308)&lt;2,"",E308-G308)</x:f>
        <x:v>90.99</x:v>
      </x:c>
      <x:c r="M308" s="31" t="str">
        <x:v>网站结构化接口</x:v>
      </x:c>
      <x:c r="N308" s="36" t="d">
        <x:v>2026-10-28T14:16:22.777Z</x:v>
      </x:c>
    </x:row>
    <x:row r="309">
      <x:c r="A309" s="36" t="d">
        <x:v>2025-11-04T00:00:00.000Z</x:v>
      </x:c>
      <x:c r="B309" s="48" t="n">
        <x:v>115.24</x:v>
      </x:c>
      <x:c r="C309" s="48" t="n">
        <x:v>124.5</x:v>
      </x:c>
      <x:c r="D309" s="48" t="n">
        <x:v>136.07</x:v>
      </x:c>
      <x:c r="E309" s="48" t="n">
        <x:v>145.17</x:v>
      </x:c>
      <x:c r="F309" s="48" t="n">
        <x:v>63.73</x:v>
      </x:c>
      <x:c r="G309" s="48" t="n">
        <x:v>75.02</x:v>
      </x:c>
      <x:c r="H309" s="49" t="n">
        <x:v>417641.81</x:v>
      </x:c>
      <x:c r="I309" s="49" t="n">
        <x:v>422415.53</x:v>
      </x:c>
      <x:c r="J309" s="48" t="n">
        <x:f>IF(COUNT(B309:C309)&lt;2,"",B309-C309)</x:f>
        <x:v>-9.260000000000005</x:v>
      </x:c>
      <x:c r="K309" s="48" t="n">
        <x:f>IF(COUNT(D309,F309)&lt;2,"",D309-F309)</x:f>
        <x:v>72.34</x:v>
      </x:c>
      <x:c r="L309" s="48" t="n">
        <x:f>IF(COUNT(E309,G309)&lt;2,"",E309-G309)</x:f>
        <x:v>70.14999999999999</x:v>
      </x:c>
      <x:c r="M309" s="31" t="str">
        <x:v>网站结构化接口</x:v>
      </x:c>
      <x:c r="N309" s="36" t="d">
        <x:v>2026-10-28T14:16:22.777Z</x:v>
      </x:c>
    </x:row>
    <x:row r="310">
      <x:c r="A310" s="36" t="d">
        <x:v>2025-11-05T00:00:00.000Z</x:v>
      </x:c>
      <x:c r="B310" s="48" t="n">
        <x:v>132.24</x:v>
      </x:c>
      <x:c r="C310" s="48" t="n">
        <x:v>202.04</x:v>
      </x:c>
      <x:c r="D310" s="48" t="n">
        <x:v>152.46</x:v>
      </x:c>
      <x:c r="E310" s="48" t="n">
        <x:v>211.92</x:v>
      </x:c>
      <x:c r="F310" s="48" t="n">
        <x:v>83.42</x:v>
      </x:c>
      <x:c r="G310" s="48" t="n">
        <x:v>170.4</x:v>
      </x:c>
      <x:c r="H310" s="49" t="n">
        <x:v>431494.15</x:v>
      </x:c>
      <x:c r="I310" s="49" t="n">
        <x:v>460167.6</x:v>
      </x:c>
      <x:c r="J310" s="48" t="n">
        <x:f>IF(COUNT(B310:C310)&lt;2,"",B310-C310)</x:f>
        <x:v>-69.79999999999998</x:v>
      </x:c>
      <x:c r="K310" s="48" t="n">
        <x:f>IF(COUNT(D310,F310)&lt;2,"",D310-F310)</x:f>
        <x:v>69.04</x:v>
      </x:c>
      <x:c r="L310" s="48" t="n">
        <x:f>IF(COUNT(E310,G310)&lt;2,"",E310-G310)</x:f>
        <x:v>41.51999999999998</x:v>
      </x:c>
      <x:c r="M310" s="31" t="str">
        <x:v>网站结构化接口</x:v>
      </x:c>
      <x:c r="N310" s="36" t="d">
        <x:v>2026-10-28T14:16:22.777Z</x:v>
      </x:c>
    </x:row>
    <x:row r="311">
      <x:c r="A311" s="36" t="d">
        <x:v>2025-11-06T00:00:00.000Z</x:v>
      </x:c>
      <x:c r="B311" s="48" t="n">
        <x:v>105.35</x:v>
      </x:c>
      <x:c r="C311" s="48" t="n">
        <x:v>125.4</x:v>
      </x:c>
      <x:c r="D311" s="48" t="n">
        <x:v>115.62</x:v>
      </x:c>
      <x:c r="E311" s="48" t="n">
        <x:v>135.57</x:v>
      </x:c>
      <x:c r="F311" s="48" t="n">
        <x:v>80.84</x:v>
      </x:c>
      <x:c r="G311" s="48" t="n">
        <x:v>101.2</x:v>
      </x:c>
      <x:c r="H311" s="49" t="n">
        <x:v>399473.62</x:v>
      </x:c>
      <x:c r="I311" s="49" t="n">
        <x:v>395599.2</x:v>
      </x:c>
      <x:c r="J311" s="48" t="n">
        <x:f>IF(COUNT(B311:C311)&lt;2,"",B311-C311)</x:f>
        <x:v>-20.05000000000001</x:v>
      </x:c>
      <x:c r="K311" s="48" t="n">
        <x:f>IF(COUNT(D311,F311)&lt;2,"",D311-F311)</x:f>
        <x:v>34.78</x:v>
      </x:c>
      <x:c r="L311" s="48" t="n">
        <x:f>IF(COUNT(E311,G311)&lt;2,"",E311-G311)</x:f>
        <x:v>34.36999999999999</x:v>
      </x:c>
      <x:c r="M311" s="31" t="str">
        <x:v>网站结构化接口</x:v>
      </x:c>
      <x:c r="N311" s="36" t="d">
        <x:v>2026-10-28T14:16:22.777Z</x:v>
      </x:c>
    </x:row>
    <x:row r="312">
      <x:c r="A312" s="36" t="d">
        <x:v>2025-11-07T00:00:00.000Z</x:v>
      </x:c>
      <x:c r="B312" s="48" t="n">
        <x:v>227.84</x:v>
      </x:c>
      <x:c r="C312" s="48" t="n">
        <x:v>262.22</x:v>
      </x:c>
      <x:c r="D312" s="48" t="n">
        <x:v>238.62</x:v>
      </x:c>
      <x:c r="E312" s="48" t="n">
        <x:v>271.01</x:v>
      </x:c>
      <x:c r="F312" s="48" t="n">
        <x:v>168.05</x:v>
      </x:c>
      <x:c r="G312" s="48" t="n">
        <x:v>208.89</x:v>
      </x:c>
      <x:c r="H312" s="49" t="n">
        <x:v>439475.78</x:v>
      </x:c>
      <x:c r="I312" s="49" t="n">
        <x:v>457227.83</x:v>
      </x:c>
      <x:c r="J312" s="48" t="n">
        <x:f>IF(COUNT(B312:C312)&lt;2,"",B312-C312)</x:f>
        <x:v>-34.380000000000024</x:v>
      </x:c>
      <x:c r="K312" s="48" t="n">
        <x:f>IF(COUNT(D312,F312)&lt;2,"",D312-F312)</x:f>
        <x:v>70.57</x:v>
      </x:c>
      <x:c r="L312" s="48" t="n">
        <x:f>IF(COUNT(E312,G312)&lt;2,"",E312-G312)</x:f>
        <x:v>62.120000000000005</x:v>
      </x:c>
      <x:c r="M312" s="31" t="str">
        <x:v>网站结构化接口</x:v>
      </x:c>
      <x:c r="N312" s="36" t="d">
        <x:v>2026-10-28T14:16:22.777Z</x:v>
      </x:c>
    </x:row>
    <x:row r="313">
      <x:c r="A313" s="36" t="d">
        <x:v>2025-11-08T00:00:00.000Z</x:v>
      </x:c>
      <x:c r="B313" s="48" t="n">
        <x:v>230.59</x:v>
      </x:c>
      <x:c r="C313" s="48" t="n">
        <x:v>234.21</x:v>
      </x:c>
      <x:c r="D313" s="48" t="n">
        <x:v>260.31</x:v>
      </x:c>
      <x:c r="E313" s="48" t="n">
        <x:v>260.8</x:v>
      </x:c>
      <x:c r="F313" s="48" t="n">
        <x:v>108.99</x:v>
      </x:c>
      <x:c r="G313" s="48" t="n">
        <x:v>112.9</x:v>
      </x:c>
      <x:c r="H313" s="49" t="n">
        <x:v>432272.27</x:v>
      </x:c>
      <x:c r="I313" s="49" t="n">
        <x:v>423576.94</x:v>
      </x:c>
      <x:c r="J313" s="48" t="n">
        <x:f>IF(COUNT(B313:C313)&lt;2,"",B313-C313)</x:f>
        <x:v>-3.6200000000000045</x:v>
      </x:c>
      <x:c r="K313" s="48" t="n">
        <x:f>IF(COUNT(D313,F313)&lt;2,"",D313-F313)</x:f>
        <x:v>151.32</x:v>
      </x:c>
      <x:c r="L313" s="48" t="n">
        <x:f>IF(COUNT(E313,G313)&lt;2,"",E313-G313)</x:f>
        <x:v>147.9</x:v>
      </x:c>
      <x:c r="M313" s="31" t="str">
        <x:v>网站结构化接口</x:v>
      </x:c>
      <x:c r="N313" s="36" t="d">
        <x:v>2026-10-28T14:16:22.777Z</x:v>
      </x:c>
    </x:row>
    <x:row r="314">
      <x:c r="A314" s="36" t="d">
        <x:v>2025-11-09T00:00:00.000Z</x:v>
      </x:c>
      <x:c r="B314" s="48" t="n">
        <x:v>256.97</x:v>
      </x:c>
      <x:c r="C314" s="48" t="n">
        <x:v>275.26</x:v>
      </x:c>
      <x:c r="D314" s="48" t="n">
        <x:v>282.52</x:v>
      </x:c>
      <x:c r="E314" s="48" t="n">
        <x:v>302.58</x:v>
      </x:c>
      <x:c r="F314" s="48" t="n">
        <x:v>117.14</x:v>
      </x:c>
      <x:c r="G314" s="48" t="n">
        <x:v>109.35</x:v>
      </x:c>
      <x:c r="H314" s="49" t="n">
        <x:v>411615.1</x:v>
      </x:c>
      <x:c r="I314" s="49" t="n">
        <x:v>406759.19</x:v>
      </x:c>
      <x:c r="J314" s="48" t="n">
        <x:f>IF(COUNT(B314:C314)&lt;2,"",B314-C314)</x:f>
        <x:v>-18.289999999999964</x:v>
      </x:c>
      <x:c r="K314" s="48" t="n">
        <x:f>IF(COUNT(D314,F314)&lt;2,"",D314-F314)</x:f>
        <x:v>165.38</x:v>
      </x:c>
      <x:c r="L314" s="48" t="n">
        <x:f>IF(COUNT(E314,G314)&lt;2,"",E314-G314)</x:f>
        <x:v>193.23</x:v>
      </x:c>
      <x:c r="M314" s="31" t="str">
        <x:v>网站结构化接口</x:v>
      </x:c>
      <x:c r="N314" s="36" t="d">
        <x:v>2026-10-28T14:16:22.777Z</x:v>
      </x:c>
    </x:row>
    <x:row r="315">
      <x:c r="A315" s="36" t="d">
        <x:v>2025-11-10T00:00:00.000Z</x:v>
      </x:c>
      <x:c r="B315" s="48" t="n">
        <x:v>318.12</x:v>
      </x:c>
      <x:c r="C315" s="48" t="n">
        <x:v>256.67</x:v>
      </x:c>
      <x:c r="D315" s="48" t="n">
        <x:v>326.72</x:v>
      </x:c>
      <x:c r="E315" s="48" t="n">
        <x:v>268.3</x:v>
      </x:c>
      <x:c r="F315" s="48" t="n">
        <x:v>241.33</x:v>
      </x:c>
      <x:c r="G315" s="48" t="n">
        <x:v>167.72</x:v>
      </x:c>
      <x:c r="H315" s="49" t="n">
        <x:v>461610.46</x:v>
      </x:c>
      <x:c r="I315" s="49" t="n">
        <x:v>443442.49</x:v>
      </x:c>
      <x:c r="J315" s="48" t="n">
        <x:f>IF(COUNT(B315:C315)&lt;2,"",B315-C315)</x:f>
        <x:v>61.44999999999999</x:v>
      </x:c>
      <x:c r="K315" s="48" t="n">
        <x:f>IF(COUNT(D315,F315)&lt;2,"",D315-F315)</x:f>
        <x:v>85.39000000000001</x:v>
      </x:c>
      <x:c r="L315" s="48" t="n">
        <x:f>IF(COUNT(E315,G315)&lt;2,"",E315-G315)</x:f>
        <x:v>100.58000000000001</x:v>
      </x:c>
      <x:c r="M315" s="31" t="str">
        <x:v>网站结构化接口</x:v>
      </x:c>
      <x:c r="N315" s="36" t="d">
        <x:v>2026-10-28T14:16:22.777Z</x:v>
      </x:c>
    </x:row>
    <x:row r="316">
      <x:c r="A316" s="36" t="d">
        <x:v>2025-11-11T00:00:00.000Z</x:v>
      </x:c>
      <x:c r="B316" s="48" t="n">
        <x:v>262.68</x:v>
      </x:c>
      <x:c r="C316" s="48" t="n">
        <x:v>263.42</x:v>
      </x:c>
      <x:c r="D316" s="48" t="n">
        <x:v>292.14</x:v>
      </x:c>
      <x:c r="E316" s="48" t="n">
        <x:v>288.41</x:v>
      </x:c>
      <x:c r="F316" s="48" t="n">
        <x:v>118.86</x:v>
      </x:c>
      <x:c r="G316" s="48" t="n">
        <x:v>138.76</x:v>
      </x:c>
      <x:c r="H316" s="49" t="n">
        <x:v>410518.88</x:v>
      </x:c>
      <x:c r="I316" s="49" t="n">
        <x:v>420777.06</x:v>
      </x:c>
      <x:c r="J316" s="48" t="n">
        <x:f>IF(COUNT(B316:C316)&lt;2,"",B316-C316)</x:f>
        <x:v>-0.7400000000000091</x:v>
      </x:c>
      <x:c r="K316" s="48" t="n">
        <x:f>IF(COUNT(D316,F316)&lt;2,"",D316-F316)</x:f>
        <x:v>173.27999999999997</x:v>
      </x:c>
      <x:c r="L316" s="48" t="n">
        <x:f>IF(COUNT(E316,G316)&lt;2,"",E316-G316)</x:f>
        <x:v>149.65000000000003</x:v>
      </x:c>
      <x:c r="M316" s="31" t="str">
        <x:v>网站结构化接口</x:v>
      </x:c>
      <x:c r="N316" s="36" t="d">
        <x:v>2026-10-28T14:16:22.777Z</x:v>
      </x:c>
    </x:row>
    <x:row r="317">
      <x:c r="A317" s="36" t="d">
        <x:v>2025-11-12T00:00:00.000Z</x:v>
      </x:c>
      <x:c r="B317" s="48" t="n">
        <x:v>193.21</x:v>
      </x:c>
      <x:c r="C317" s="48" t="n">
        <x:v>274.81</x:v>
      </x:c>
      <x:c r="D317" s="48" t="n">
        <x:v>211.13</x:v>
      </x:c>
      <x:c r="E317" s="48" t="n">
        <x:v>307.26</x:v>
      </x:c>
      <x:c r="F317" s="48" t="n">
        <x:v>123.77</x:v>
      </x:c>
      <x:c r="G317" s="48" t="n">
        <x:v>150.63</x:v>
      </x:c>
      <x:c r="H317" s="49" t="n">
        <x:v>408195.17</x:v>
      </x:c>
      <x:c r="I317" s="49" t="n">
        <x:v>418968.46</x:v>
      </x:c>
      <x:c r="J317" s="48" t="n">
        <x:f>IF(COUNT(B317:C317)&lt;2,"",B317-C317)</x:f>
        <x:v>-81.6</x:v>
      </x:c>
      <x:c r="K317" s="48" t="n">
        <x:f>IF(COUNT(D317,F317)&lt;2,"",D317-F317)</x:f>
        <x:v>87.36</x:v>
      </x:c>
      <x:c r="L317" s="48" t="n">
        <x:f>IF(COUNT(E317,G317)&lt;2,"",E317-G317)</x:f>
        <x:v>156.63</x:v>
      </x:c>
      <x:c r="M317" s="31" t="str">
        <x:v>网站结构化接口</x:v>
      </x:c>
      <x:c r="N317" s="36" t="d">
        <x:v>2026-10-28T14:16:22.777Z</x:v>
      </x:c>
    </x:row>
    <x:row r="318">
      <x:c r="A318" s="36" t="d">
        <x:v>2025-11-13T00:00:00.000Z</x:v>
      </x:c>
      <x:c r="B318" s="48" t="n">
        <x:v>258.01</x:v>
      </x:c>
      <x:c r="C318" s="48" t="n">
        <x:v>361.07</x:v>
      </x:c>
      <x:c r="D318" s="48" t="n">
        <x:v>281.05</x:v>
      </x:c>
      <x:c r="E318" s="48" t="n">
        <x:v>391.32</x:v>
      </x:c>
      <x:c r="F318" s="48" t="n">
        <x:v>135.94</x:v>
      </x:c>
      <x:c r="G318" s="48" t="n">
        <x:v>154.59</x:v>
      </x:c>
      <x:c r="H318" s="49" t="n">
        <x:v>405344.35</x:v>
      </x:c>
      <x:c r="I318" s="49" t="n">
        <x:v>425932.47</x:v>
      </x:c>
      <x:c r="J318" s="48" t="n">
        <x:f>IF(COUNT(B318:C318)&lt;2,"",B318-C318)</x:f>
        <x:v>-103.06</x:v>
      </x:c>
      <x:c r="K318" s="48" t="n">
        <x:f>IF(COUNT(D318,F318)&lt;2,"",D318-F318)</x:f>
        <x:v>145.11</x:v>
      </x:c>
      <x:c r="L318" s="48" t="n">
        <x:f>IF(COUNT(E318,G318)&lt;2,"",E318-G318)</x:f>
        <x:v>236.73</x:v>
      </x:c>
      <x:c r="M318" s="31" t="str">
        <x:v>网站结构化接口</x:v>
      </x:c>
      <x:c r="N318" s="36" t="d">
        <x:v>2026-10-28T14:16:22.777Z</x:v>
      </x:c>
    </x:row>
    <x:row r="319">
      <x:c r="A319" s="36" t="d">
        <x:v>2025-11-14T00:00:00.000Z</x:v>
      </x:c>
      <x:c r="B319" s="48" t="n">
        <x:v>116.43</x:v>
      </x:c>
      <x:c r="C319" s="48" t="n">
        <x:v>176.64</x:v>
      </x:c>
      <x:c r="D319" s="48" t="n">
        <x:v>125.15</x:v>
      </x:c>
      <x:c r="E319" s="48" t="n">
        <x:v>194.89</x:v>
      </x:c>
      <x:c r="F319" s="48" t="n">
        <x:v>81.7</x:v>
      </x:c>
      <x:c r="G319" s="48" t="n">
        <x:v>109.33</x:v>
      </x:c>
      <x:c r="H319" s="49" t="n">
        <x:v>397650.4</x:v>
      </x:c>
      <x:c r="I319" s="49" t="n">
        <x:v>422100.3</x:v>
      </x:c>
      <x:c r="J319" s="48" t="n">
        <x:f>IF(COUNT(B319:C319)&lt;2,"",B319-C319)</x:f>
        <x:v>-60.20999999999998</x:v>
      </x:c>
      <x:c r="K319" s="48" t="n">
        <x:f>IF(COUNT(D319,F319)&lt;2,"",D319-F319)</x:f>
        <x:v>43.45</x:v>
      </x:c>
      <x:c r="L319" s="48" t="n">
        <x:f>IF(COUNT(E319,G319)&lt;2,"",E319-G319)</x:f>
        <x:v>85.55999999999999</x:v>
      </x:c>
      <x:c r="M319" s="31" t="str">
        <x:v>网站结构化接口</x:v>
      </x:c>
      <x:c r="N319" s="36" t="d">
        <x:v>2026-10-28T14:16:22.777Z</x:v>
      </x:c>
    </x:row>
    <x:row r="320">
      <x:c r="A320" s="36" t="d">
        <x:v>2025-11-15T00:00:00.000Z</x:v>
      </x:c>
      <x:c r="B320" s="48" t="n">
        <x:v>172.88</x:v>
      </x:c>
      <x:c r="C320" s="48" t="n">
        <x:v>215.27</x:v>
      </x:c>
      <x:c r="D320" s="48" t="n">
        <x:v>189.66</x:v>
      </x:c>
      <x:c r="E320" s="48" t="n">
        <x:v>238.34</x:v>
      </x:c>
      <x:c r="F320" s="48" t="n">
        <x:v>96.27</x:v>
      </x:c>
      <x:c r="G320" s="48" t="n">
        <x:v>97.45</x:v>
      </x:c>
      <x:c r="H320" s="49" t="n">
        <x:v>403877.85</x:v>
      </x:c>
      <x:c r="I320" s="49" t="n">
        <x:v>408201.3</x:v>
      </x:c>
      <x:c r="J320" s="48" t="n">
        <x:f>IF(COUNT(B320:C320)&lt;2,"",B320-C320)</x:f>
        <x:v>-42.390000000000015</x:v>
      </x:c>
      <x:c r="K320" s="48" t="n">
        <x:f>IF(COUNT(D320,F320)&lt;2,"",D320-F320)</x:f>
        <x:v>93.39</x:v>
      </x:c>
      <x:c r="L320" s="48" t="n">
        <x:f>IF(COUNT(E320,G320)&lt;2,"",E320-G320)</x:f>
        <x:v>140.89</x:v>
      </x:c>
      <x:c r="M320" s="31" t="str">
        <x:v>网站结构化接口</x:v>
      </x:c>
      <x:c r="N320" s="36" t="d">
        <x:v>2026-10-28T14:16:22.777Z</x:v>
      </x:c>
    </x:row>
    <x:row r="321">
      <x:c r="A321" s="36" t="d">
        <x:v>2025-11-16T00:00:00.000Z</x:v>
      </x:c>
      <x:c r="B321" s="48" t="n">
        <x:v>74.56</x:v>
      </x:c>
      <x:c r="C321" s="48" t="n">
        <x:v>98.25</x:v>
      </x:c>
      <x:c r="D321" s="48" t="n">
        <x:v>78.44</x:v>
      </x:c>
      <x:c r="E321" s="48" t="n">
        <x:v>105.23</x:v>
      </x:c>
      <x:c r="F321" s="48" t="n">
        <x:v>62.56</x:v>
      </x:c>
      <x:c r="G321" s="48" t="n">
        <x:v>76.88</x:v>
      </x:c>
      <x:c r="H321" s="49" t="n">
        <x:v>408449.54</x:v>
      </x:c>
      <x:c r="I321" s="49" t="n">
        <x:v>413429.84</x:v>
      </x:c>
      <x:c r="J321" s="48" t="n">
        <x:f>IF(COUNT(B321:C321)&lt;2,"",B321-C321)</x:f>
        <x:v>-23.689999999999998</x:v>
      </x:c>
      <x:c r="K321" s="48" t="n">
        <x:f>IF(COUNT(D321,F321)&lt;2,"",D321-F321)</x:f>
        <x:v>15.879999999999995</x:v>
      </x:c>
      <x:c r="L321" s="48" t="n">
        <x:f>IF(COUNT(E321,G321)&lt;2,"",E321-G321)</x:f>
        <x:v>28.35000000000001</x:v>
      </x:c>
      <x:c r="M321" s="31" t="str">
        <x:v>网站结构化接口</x:v>
      </x:c>
      <x:c r="N321" s="36" t="d">
        <x:v>2026-10-28T14:16:22.777Z</x:v>
      </x:c>
    </x:row>
    <x:row r="322">
      <x:c r="A322" s="36" t="d">
        <x:v>2025-11-17T00:00:00.000Z</x:v>
      </x:c>
      <x:c r="B322" s="48" t="n">
        <x:v>104.38</x:v>
      </x:c>
      <x:c r="C322" s="48" t="n">
        <x:v>110.92</x:v>
      </x:c>
      <x:c r="D322" s="48" t="n">
        <x:v>113.72</x:v>
      </x:c>
      <x:c r="E322" s="48" t="n">
        <x:v>117.4</x:v>
      </x:c>
      <x:c r="F322" s="48" t="n">
        <x:v>76.85</x:v>
      </x:c>
      <x:c r="G322" s="48" t="n">
        <x:v>90.1</x:v>
      </x:c>
      <x:c r="H322" s="49" t="n">
        <x:v>436032.56</x:v>
      </x:c>
      <x:c r="I322" s="49" t="n">
        <x:v>438227.24</x:v>
      </x:c>
      <x:c r="J322" s="48" t="n">
        <x:f>IF(COUNT(B322:C322)&lt;2,"",B322-C322)</x:f>
        <x:v>-6.540000000000006</x:v>
      </x:c>
      <x:c r="K322" s="48" t="n">
        <x:f>IF(COUNT(D322,F322)&lt;2,"",D322-F322)</x:f>
        <x:v>36.870000000000005</x:v>
      </x:c>
      <x:c r="L322" s="48" t="n">
        <x:f>IF(COUNT(E322,G322)&lt;2,"",E322-G322)</x:f>
        <x:v>27.30000000000001</x:v>
      </x:c>
      <x:c r="M322" s="31" t="str">
        <x:v>网站结构化接口</x:v>
      </x:c>
      <x:c r="N322" s="36" t="d">
        <x:v>2026-10-28T14:16:22.777Z</x:v>
      </x:c>
    </x:row>
    <x:row r="323">
      <x:c r="A323" s="36" t="d">
        <x:v>2025-11-18T00:00:00.000Z</x:v>
      </x:c>
      <x:c r="B323" s="48" t="n">
        <x:v>223.91</x:v>
      </x:c>
      <x:c r="C323" s="48" t="n">
        <x:v>217.56</x:v>
      </x:c>
      <x:c r="D323" s="48" t="n">
        <x:v>250.29</x:v>
      </x:c>
      <x:c r="E323" s="48" t="n">
        <x:v>242.23</x:v>
      </x:c>
      <x:c r="F323" s="48" t="n">
        <x:v>129.36</x:v>
      </x:c>
      <x:c r="G323" s="48" t="n">
        <x:v>135.76</x:v>
      </x:c>
      <x:c r="H323" s="49" t="n">
        <x:v>467919.91</x:v>
      </x:c>
      <x:c r="I323" s="49" t="n">
        <x:v>470861.7</x:v>
      </x:c>
      <x:c r="J323" s="48" t="n">
        <x:f>IF(COUNT(B323:C323)&lt;2,"",B323-C323)</x:f>
        <x:v>6.349999999999994</x:v>
      </x:c>
      <x:c r="K323" s="48" t="n">
        <x:f>IF(COUNT(D323,F323)&lt;2,"",D323-F323)</x:f>
        <x:v>120.92999999999998</x:v>
      </x:c>
      <x:c r="L323" s="48" t="n">
        <x:f>IF(COUNT(E323,G323)&lt;2,"",E323-G323)</x:f>
        <x:v>106.47</x:v>
      </x:c>
      <x:c r="M323" s="31" t="str">
        <x:v>网站结构化接口</x:v>
      </x:c>
      <x:c r="N323" s="36" t="d">
        <x:v>2026-10-28T14:16:22.777Z</x:v>
      </x:c>
    </x:row>
    <x:row r="324">
      <x:c r="A324" s="36" t="d">
        <x:v>2025-11-19T00:00:00.000Z</x:v>
      </x:c>
      <x:c r="B324" s="48" t="n">
        <x:v>237.06</x:v>
      </x:c>
      <x:c r="C324" s="48" t="n">
        <x:v>293.66</x:v>
      </x:c>
      <x:c r="D324" s="48" t="n">
        <x:v>260.33</x:v>
      </x:c>
      <x:c r="E324" s="48" t="n">
        <x:v>316.39</x:v>
      </x:c>
      <x:c r="F324" s="48" t="n">
        <x:v>123.1</x:v>
      </x:c>
      <x:c r="G324" s="48" t="n">
        <x:v>163.17</x:v>
      </x:c>
      <x:c r="H324" s="49" t="n">
        <x:v>471855</x:v>
      </x:c>
      <x:c r="I324" s="49" t="n">
        <x:v>481111.26</x:v>
      </x:c>
      <x:c r="J324" s="48" t="n">
        <x:f>IF(COUNT(B324:C324)&lt;2,"",B324-C324)</x:f>
        <x:v>-56.60000000000002</x:v>
      </x:c>
      <x:c r="K324" s="48" t="n">
        <x:f>IF(COUNT(D324,F324)&lt;2,"",D324-F324)</x:f>
        <x:v>137.23</x:v>
      </x:c>
      <x:c r="L324" s="48" t="n">
        <x:f>IF(COUNT(E324,G324)&lt;2,"",E324-G324)</x:f>
        <x:v>153.22</x:v>
      </x:c>
      <x:c r="M324" s="31" t="str">
        <x:v>网站结构化接口</x:v>
      </x:c>
      <x:c r="N324" s="36" t="d">
        <x:v>2026-10-28T14:16:22.777Z</x:v>
      </x:c>
    </x:row>
    <x:row r="325">
      <x:c r="A325" s="36" t="d">
        <x:v>2025-11-20T00:00:00.000Z</x:v>
      </x:c>
      <x:c r="B325" s="48" t="n">
        <x:v>233.18</x:v>
      </x:c>
      <x:c r="C325" s="48" t="n">
        <x:v>248.9</x:v>
      </x:c>
      <x:c r="D325" s="48" t="n">
        <x:v>258.85</x:v>
      </x:c>
      <x:c r="E325" s="48" t="n">
        <x:v>267.21</x:v>
      </x:c>
      <x:c r="F325" s="48" t="n">
        <x:v>116.14</x:v>
      </x:c>
      <x:c r="G325" s="48" t="n">
        <x:v>157.92</x:v>
      </x:c>
      <x:c r="H325" s="49" t="n">
        <x:v>516718.93</x:v>
      </x:c>
      <x:c r="I325" s="49" t="n">
        <x:v>512050.26</x:v>
      </x:c>
      <x:c r="J325" s="48" t="n">
        <x:f>IF(COUNT(B325:C325)&lt;2,"",B325-C325)</x:f>
        <x:v>-15.719999999999999</x:v>
      </x:c>
      <x:c r="K325" s="48" t="n">
        <x:f>IF(COUNT(D325,F325)&lt;2,"",D325-F325)</x:f>
        <x:v>142.71000000000004</x:v>
      </x:c>
      <x:c r="L325" s="48" t="n">
        <x:f>IF(COUNT(E325,G325)&lt;2,"",E325-G325)</x:f>
        <x:v>109.28999999999999</x:v>
      </x:c>
      <x:c r="M325" s="31" t="str">
        <x:v>网站结构化接口</x:v>
      </x:c>
      <x:c r="N325" s="36" t="d">
        <x:v>2026-10-28T14:16:22.777Z</x:v>
      </x:c>
    </x:row>
    <x:row r="326">
      <x:c r="A326" s="36" t="d">
        <x:v>2025-11-21T00:00:00.000Z</x:v>
      </x:c>
      <x:c r="B326" s="48" t="n">
        <x:v>285.09</x:v>
      </x:c>
      <x:c r="C326" s="48" t="n">
        <x:v>322.84</x:v>
      </x:c>
      <x:c r="D326" s="48" t="n">
        <x:v>311.73</x:v>
      </x:c>
      <x:c r="E326" s="48" t="n">
        <x:v>346.67</x:v>
      </x:c>
      <x:c r="F326" s="48" t="n">
        <x:v>127.33</x:v>
      </x:c>
      <x:c r="G326" s="48" t="n">
        <x:v>173.47</x:v>
      </x:c>
      <x:c r="H326" s="49" t="n">
        <x:v>511231.89</x:v>
      </x:c>
      <x:c r="I326" s="49" t="n">
        <x:v>518593.53</x:v>
      </x:c>
      <x:c r="J326" s="48" t="n">
        <x:f>IF(COUNT(B326:C326)&lt;2,"",B326-C326)</x:f>
        <x:v>-37.75</x:v>
      </x:c>
      <x:c r="K326" s="48" t="n">
        <x:f>IF(COUNT(D326,F326)&lt;2,"",D326-F326)</x:f>
        <x:v>184.40000000000003</x:v>
      </x:c>
      <x:c r="L326" s="48" t="n">
        <x:f>IF(COUNT(E326,G326)&lt;2,"",E326-G326)</x:f>
        <x:v>173.20000000000002</x:v>
      </x:c>
      <x:c r="M326" s="31" t="str">
        <x:v>网站结构化接口</x:v>
      </x:c>
      <x:c r="N326" s="36" t="d">
        <x:v>2026-10-28T14:16:22.777Z</x:v>
      </x:c>
    </x:row>
    <x:row r="327">
      <x:c r="A327" s="36" t="d">
        <x:v>2025-11-22T00:00:00.000Z</x:v>
      </x:c>
      <x:c r="B327" s="48" t="n">
        <x:v>148.12</x:v>
      </x:c>
      <x:c r="C327" s="48" t="n">
        <x:v>136.76</x:v>
      </x:c>
      <x:c r="D327" s="48" t="n">
        <x:v>168.29</x:v>
      </x:c>
      <x:c r="E327" s="48" t="n">
        <x:v>148.92</x:v>
      </x:c>
      <x:c r="F327" s="48" t="n">
        <x:v>85.22</x:v>
      </x:c>
      <x:c r="G327" s="48" t="n">
        <x:v>100.04</x:v>
      </x:c>
      <x:c r="H327" s="49" t="n">
        <x:v>485187.15</x:v>
      </x:c>
      <x:c r="I327" s="49" t="n">
        <x:v>478753.88</x:v>
      </x:c>
      <x:c r="J327" s="48" t="n">
        <x:f>IF(COUNT(B327:C327)&lt;2,"",B327-C327)</x:f>
        <x:v>11.360000000000014</x:v>
      </x:c>
      <x:c r="K327" s="48" t="n">
        <x:f>IF(COUNT(D327,F327)&lt;2,"",D327-F327)</x:f>
        <x:v>83.07</x:v>
      </x:c>
      <x:c r="L327" s="48" t="n">
        <x:f>IF(COUNT(E327,G327)&lt;2,"",E327-G327)</x:f>
        <x:v>48.87999999999998</x:v>
      </x:c>
      <x:c r="M327" s="31" t="str">
        <x:v>网站结构化接口</x:v>
      </x:c>
      <x:c r="N327" s="36" t="d">
        <x:v>2026-10-28T14:16:22.777Z</x:v>
      </x:c>
    </x:row>
    <x:row r="328">
      <x:c r="A328" s="36" t="d">
        <x:v>2025-11-23T00:00:00.000Z</x:v>
      </x:c>
      <x:c r="B328" s="48" t="n">
        <x:v>127.57</x:v>
      </x:c>
      <x:c r="C328" s="48" t="n">
        <x:v>109.84</x:v>
      </x:c>
      <x:c r="D328" s="48" t="n">
        <x:v>144.64</x:v>
      </x:c>
      <x:c r="E328" s="48" t="n">
        <x:v>120.59</x:v>
      </x:c>
      <x:c r="F328" s="48" t="n">
        <x:v>83.23</x:v>
      </x:c>
      <x:c r="G328" s="48" t="n">
        <x:v>80.8</x:v>
      </x:c>
      <x:c r="H328" s="49" t="n">
        <x:v>494869.55</x:v>
      </x:c>
      <x:c r="I328" s="49" t="n">
        <x:v>469595.74</x:v>
      </x:c>
      <x:c r="J328" s="48" t="n">
        <x:f>IF(COUNT(B328:C328)&lt;2,"",B328-C328)</x:f>
        <x:v>17.72999999999999</x:v>
      </x:c>
      <x:c r="K328" s="48" t="n">
        <x:f>IF(COUNT(D328,F328)&lt;2,"",D328-F328)</x:f>
        <x:v>61.40999999999998</x:v>
      </x:c>
      <x:c r="L328" s="48" t="n">
        <x:f>IF(COUNT(E328,G328)&lt;2,"",E328-G328)</x:f>
        <x:v>39.790000000000006</x:v>
      </x:c>
      <x:c r="M328" s="31" t="str">
        <x:v>网站结构化接口</x:v>
      </x:c>
      <x:c r="N328" s="36" t="d">
        <x:v>2026-10-28T14:16:22.777Z</x:v>
      </x:c>
    </x:row>
    <x:row r="329">
      <x:c r="A329" s="36" t="d">
        <x:v>2025-11-24T00:00:00.000Z</x:v>
      </x:c>
      <x:c r="B329" s="48" t="n">
        <x:v>124.36</x:v>
      </x:c>
      <x:c r="C329" s="48" t="n">
        <x:v>143.22</x:v>
      </x:c>
      <x:c r="D329" s="48" t="n">
        <x:v>137.23</x:v>
      </x:c>
      <x:c r="E329" s="48" t="n">
        <x:v>154.86</x:v>
      </x:c>
      <x:c r="F329" s="48" t="n">
        <x:v>87.14</x:v>
      </x:c>
      <x:c r="G329" s="48" t="n">
        <x:v>109.01</x:v>
      </x:c>
      <x:c r="H329" s="49" t="n">
        <x:v>471357.02</x:v>
      </x:c>
      <x:c r="I329" s="49" t="n">
        <x:v>478370.72</x:v>
      </x:c>
      <x:c r="J329" s="48" t="n">
        <x:f>IF(COUNT(B329:C329)&lt;2,"",B329-C329)</x:f>
        <x:v>-18.86</x:v>
      </x:c>
      <x:c r="K329" s="48" t="n">
        <x:f>IF(COUNT(D329,F329)&lt;2,"",D329-F329)</x:f>
        <x:v>50.08999999999999</x:v>
      </x:c>
      <x:c r="L329" s="48" t="n">
        <x:f>IF(COUNT(E329,G329)&lt;2,"",E329-G329)</x:f>
        <x:v>45.85000000000001</x:v>
      </x:c>
      <x:c r="M329" s="31" t="str">
        <x:v>网站结构化接口</x:v>
      </x:c>
      <x:c r="N329" s="36" t="d">
        <x:v>2026-10-28T14:16:22.777Z</x:v>
      </x:c>
    </x:row>
    <x:row r="330">
      <x:c r="A330" s="36" t="d">
        <x:v>2025-11-25T00:00:00.000Z</x:v>
      </x:c>
      <x:c r="B330" s="48" t="n">
        <x:v>261.07</x:v>
      </x:c>
      <x:c r="C330" s="48" t="n">
        <x:v>226.83</x:v>
      </x:c>
      <x:c r="D330" s="48" t="n">
        <x:v>291.68</x:v>
      </x:c>
      <x:c r="E330" s="48" t="n">
        <x:v>266.19</x:v>
      </x:c>
      <x:c r="F330" s="48" t="n">
        <x:v>154.65</x:v>
      </x:c>
      <x:c r="G330" s="48" t="n">
        <x:v>96.92</x:v>
      </x:c>
      <x:c r="H330" s="49" t="n">
        <x:v>502814.23</x:v>
      </x:c>
      <x:c r="I330" s="49" t="n">
        <x:v>481637.05</x:v>
      </x:c>
      <x:c r="J330" s="48" t="n">
        <x:f>IF(COUNT(B330:C330)&lt;2,"",B330-C330)</x:f>
        <x:v>34.23999999999998</x:v>
      </x:c>
      <x:c r="K330" s="48" t="n">
        <x:f>IF(COUNT(D330,F330)&lt;2,"",D330-F330)</x:f>
        <x:v>137.03</x:v>
      </x:c>
      <x:c r="L330" s="48" t="n">
        <x:f>IF(COUNT(E330,G330)&lt;2,"",E330-G330)</x:f>
        <x:v>169.26999999999998</x:v>
      </x:c>
      <x:c r="M330" s="31" t="str">
        <x:v>网站结构化接口</x:v>
      </x:c>
      <x:c r="N330" s="36" t="d">
        <x:v>2026-10-28T14:16:22.777Z</x:v>
      </x:c>
    </x:row>
    <x:row r="331">
      <x:c r="A331" s="36" t="d">
        <x:v>2025-11-26T00:00:00.000Z</x:v>
      </x:c>
      <x:c r="B331" s="48" t="n">
        <x:v>60.32</x:v>
      </x:c>
      <x:c r="C331" s="48" t="n">
        <x:v>93.35</x:v>
      </x:c>
      <x:c r="D331" s="48" t="n">
        <x:v>65.83</x:v>
      </x:c>
      <x:c r="E331" s="48" t="n">
        <x:v>110.42</x:v>
      </x:c>
      <x:c r="F331" s="48" t="n">
        <x:v>47.08</x:v>
      </x:c>
      <x:c r="G331" s="48" t="n">
        <x:v>55.33</x:v>
      </x:c>
      <x:c r="H331" s="49" t="n">
        <x:v>457124.14</x:v>
      </x:c>
      <x:c r="I331" s="49" t="n">
        <x:v>461803.38</x:v>
      </x:c>
      <x:c r="J331" s="48" t="n">
        <x:f>IF(COUNT(B331:C331)&lt;2,"",B331-C331)</x:f>
        <x:v>-33.029999999999994</x:v>
      </x:c>
      <x:c r="K331" s="48" t="n">
        <x:f>IF(COUNT(D331,F331)&lt;2,"",D331-F331)</x:f>
        <x:v>18.75</x:v>
      </x:c>
      <x:c r="L331" s="48" t="n">
        <x:f>IF(COUNT(E331,G331)&lt;2,"",E331-G331)</x:f>
        <x:v>55.09</x:v>
      </x:c>
      <x:c r="M331" s="31" t="str">
        <x:v>网站结构化接口</x:v>
      </x:c>
      <x:c r="N331" s="36" t="d">
        <x:v>2026-10-28T14:16:22.777Z</x:v>
      </x:c>
    </x:row>
    <x:row r="332">
      <x:c r="A332" s="36" t="d">
        <x:v>2025-11-27T00:00:00.000Z</x:v>
      </x:c>
      <x:c r="B332" s="48" t="n">
        <x:v>143.13</x:v>
      </x:c>
      <x:c r="C332" s="48" t="n">
        <x:v>137.94</x:v>
      </x:c>
      <x:c r="D332" s="48" t="n">
        <x:v>173.73</x:v>
      </x:c>
      <x:c r="E332" s="48" t="n">
        <x:v>169.95</x:v>
      </x:c>
      <x:c r="F332" s="48" t="n">
        <x:v>58.98</x:v>
      </x:c>
      <x:c r="G332" s="48" t="n">
        <x:v>56.45</x:v>
      </x:c>
      <x:c r="H332" s="49" t="n">
        <x:v>488309.2</x:v>
      </x:c>
      <x:c r="I332" s="49" t="n">
        <x:v>478780.74</x:v>
      </x:c>
      <x:c r="J332" s="48" t="n">
        <x:f>IF(COUNT(B332:C332)&lt;2,"",B332-C332)</x:f>
        <x:v>5.189999999999998</x:v>
      </x:c>
      <x:c r="K332" s="48" t="n">
        <x:f>IF(COUNT(D332,F332)&lt;2,"",D332-F332)</x:f>
        <x:v>114.75</x:v>
      </x:c>
      <x:c r="L332" s="48" t="n">
        <x:f>IF(COUNT(E332,G332)&lt;2,"",E332-G332)</x:f>
        <x:v>113.49999999999999</x:v>
      </x:c>
      <x:c r="M332" s="31" t="str">
        <x:v>网站结构化接口</x:v>
      </x:c>
      <x:c r="N332" s="36" t="d">
        <x:v>2026-10-28T14:16:22.777Z</x:v>
      </x:c>
    </x:row>
    <x:row r="333">
      <x:c r="A333" s="36" t="d">
        <x:v>2025-11-28T00:00:00.000Z</x:v>
      </x:c>
      <x:c r="B333" s="48" t="n">
        <x:v>191.71</x:v>
      </x:c>
      <x:c r="C333" s="48" t="n">
        <x:v>184.1</x:v>
      </x:c>
      <x:c r="D333" s="48" t="n">
        <x:v>235.7</x:v>
      </x:c>
      <x:c r="E333" s="48" t="n">
        <x:v>227.86</x:v>
      </x:c>
      <x:c r="F333" s="48" t="n">
        <x:v>67.85</x:v>
      </x:c>
      <x:c r="G333" s="48" t="n">
        <x:v>66.6</x:v>
      </x:c>
      <x:c r="H333" s="49" t="n">
        <x:v>475392.06</x:v>
      </x:c>
      <x:c r="I333" s="49" t="n">
        <x:v>476549.51</x:v>
      </x:c>
      <x:c r="J333" s="48" t="n">
        <x:f>IF(COUNT(B333:C333)&lt;2,"",B333-C333)</x:f>
        <x:v>7.610000000000014</x:v>
      </x:c>
      <x:c r="K333" s="48" t="n">
        <x:f>IF(COUNT(D333,F333)&lt;2,"",D333-F333)</x:f>
        <x:v>167.85</x:v>
      </x:c>
      <x:c r="L333" s="48" t="n">
        <x:f>IF(COUNT(E333,G333)&lt;2,"",E333-G333)</x:f>
        <x:v>161.26000000000002</x:v>
      </x:c>
      <x:c r="M333" s="31" t="str">
        <x:v>网站结构化接口</x:v>
      </x:c>
      <x:c r="N333" s="36" t="d">
        <x:v>2026-10-28T14:16:22.777Z</x:v>
      </x:c>
    </x:row>
    <x:row r="334">
      <x:c r="A334" s="36" t="d">
        <x:v>2025-11-29T00:00:00.000Z</x:v>
      </x:c>
      <x:c r="B334" s="48" t="n">
        <x:v>153.54</x:v>
      </x:c>
      <x:c r="C334" s="48" t="n">
        <x:v>246.82</x:v>
      </x:c>
      <x:c r="D334" s="48" t="n">
        <x:v>172.01</x:v>
      </x:c>
      <x:c r="E334" s="48" t="n">
        <x:v>283.14</x:v>
      </x:c>
      <x:c r="F334" s="48" t="n">
        <x:v>89.41</x:v>
      </x:c>
      <x:c r="G334" s="48" t="n">
        <x:v>116.16</x:v>
      </x:c>
      <x:c r="H334" s="49" t="n">
        <x:v>471460.55</x:v>
      </x:c>
      <x:c r="I334" s="49" t="n">
        <x:v>485416.29</x:v>
      </x:c>
      <x:c r="J334" s="48" t="n">
        <x:f>IF(COUNT(B334:C334)&lt;2,"",B334-C334)</x:f>
        <x:v>-93.28</x:v>
      </x:c>
      <x:c r="K334" s="48" t="n">
        <x:f>IF(COUNT(D334,F334)&lt;2,"",D334-F334)</x:f>
        <x:v>82.6</x:v>
      </x:c>
      <x:c r="L334" s="48" t="n">
        <x:f>IF(COUNT(E334,G334)&lt;2,"",E334-G334)</x:f>
        <x:v>166.98</x:v>
      </x:c>
      <x:c r="M334" s="31" t="str">
        <x:v>网站结构化接口</x:v>
      </x:c>
      <x:c r="N334" s="36" t="d">
        <x:v>2026-10-28T14:16:22.777Z</x:v>
      </x:c>
    </x:row>
    <x:row r="335">
      <x:c r="A335" s="36" t="d">
        <x:v>2025-11-30T00:00:00.000Z</x:v>
      </x:c>
      <x:c r="B335" s="48" t="n">
        <x:v>207.53</x:v>
      </x:c>
      <x:c r="C335" s="48" t="n">
        <x:v>214.25</x:v>
      </x:c>
      <x:c r="D335" s="48" t="n">
        <x:v>241.64</x:v>
      </x:c>
      <x:c r="E335" s="48" t="n">
        <x:v>249.54</x:v>
      </x:c>
      <x:c r="F335" s="48" t="n">
        <x:v>73.65</x:v>
      </x:c>
      <x:c r="G335" s="48" t="n">
        <x:v>71.3</x:v>
      </x:c>
      <x:c r="H335" s="49" t="n">
        <x:v>476364.04</x:v>
      </x:c>
      <x:c r="I335" s="49" t="n">
        <x:v>469774.6</x:v>
      </x:c>
      <x:c r="J335" s="48" t="n">
        <x:f>IF(COUNT(B335:C335)&lt;2,"",B335-C335)</x:f>
        <x:v>-6.719999999999999</x:v>
      </x:c>
      <x:c r="K335" s="48" t="n">
        <x:f>IF(COUNT(D335,F335)&lt;2,"",D335-F335)</x:f>
        <x:v>167.98999999999998</x:v>
      </x:c>
      <x:c r="L335" s="48" t="n">
        <x:f>IF(COUNT(E335,G335)&lt;2,"",E335-G335)</x:f>
        <x:v>178.24</x:v>
      </x:c>
      <x:c r="M335" s="31" t="str">
        <x:v>网站结构化接口</x:v>
      </x:c>
      <x:c r="N335" s="36" t="d">
        <x:v>2026-10-28T14:16:22.777Z</x:v>
      </x:c>
    </x:row>
    <x:row r="336">
      <x:c r="A336" s="36" t="d">
        <x:v>2025-12-01T00:00:00.000Z</x:v>
      </x:c>
      <x:c r="B336" s="48" t="n">
        <x:v>224.27</x:v>
      </x:c>
      <x:c r="C336" s="48" t="n">
        <x:v>191.02</x:v>
      </x:c>
      <x:c r="D336" s="48" t="n">
        <x:v>242.44</x:v>
      </x:c>
      <x:c r="E336" s="48" t="n">
        <x:v>208.83</x:v>
      </x:c>
      <x:c r="F336" s="48" t="n">
        <x:v>152.49</x:v>
      </x:c>
      <x:c r="G336" s="48" t="n">
        <x:v>120.26</x:v>
      </x:c>
      <x:c r="H336" s="49" t="n">
        <x:v>540258.52</x:v>
      </x:c>
      <x:c r="I336" s="49" t="n">
        <x:v>525635.86</x:v>
      </x:c>
      <x:c r="J336" s="48" t="n">
        <x:f>IF(COUNT(B336:C336)&lt;2,"",B336-C336)</x:f>
        <x:v>33.25</x:v>
      </x:c>
      <x:c r="K336" s="48" t="n">
        <x:f>IF(COUNT(D336,F336)&lt;2,"",D336-F336)</x:f>
        <x:v>89.94999999999999</x:v>
      </x:c>
      <x:c r="L336" s="48" t="n">
        <x:f>IF(COUNT(E336,G336)&lt;2,"",E336-G336)</x:f>
        <x:v>88.57000000000001</x:v>
      </x:c>
      <x:c r="M336" s="31" t="str">
        <x:v>网站结构化接口</x:v>
      </x:c>
      <x:c r="N336" s="36" t="d">
        <x:v>2026-10-28T14:16:22.777Z</x:v>
      </x:c>
    </x:row>
    <x:row r="337">
      <x:c r="A337" s="36" t="d">
        <x:v>2025-12-02T00:00:00.000Z</x:v>
      </x:c>
      <x:c r="B337" s="48" t="n">
        <x:v>251.91</x:v>
      </x:c>
      <x:c r="C337" s="48" t="n">
        <x:v>262.34</x:v>
      </x:c>
      <x:c r="D337" s="48" t="n">
        <x:v>270.85</x:v>
      </x:c>
      <x:c r="E337" s="48" t="n">
        <x:v>283.53</x:v>
      </x:c>
      <x:c r="F337" s="48" t="n">
        <x:v>158.78</x:v>
      </x:c>
      <x:c r="G337" s="48" t="n">
        <x:v>164.24</x:v>
      </x:c>
      <x:c r="H337" s="49" t="n">
        <x:v>530792.06</x:v>
      </x:c>
      <x:c r="I337" s="49" t="n">
        <x:v>547050.66</x:v>
      </x:c>
      <x:c r="J337" s="48" t="n">
        <x:f>IF(COUNT(B337:C337)&lt;2,"",B337-C337)</x:f>
        <x:v>-10.429999999999978</x:v>
      </x:c>
      <x:c r="K337" s="48" t="n">
        <x:f>IF(COUNT(D337,F337)&lt;2,"",D337-F337)</x:f>
        <x:v>112.07000000000002</x:v>
      </x:c>
      <x:c r="L337" s="48" t="n">
        <x:f>IF(COUNT(E337,G337)&lt;2,"",E337-G337)</x:f>
        <x:v>119.28999999999996</x:v>
      </x:c>
      <x:c r="M337" s="31" t="str">
        <x:v>网站结构化接口</x:v>
      </x:c>
      <x:c r="N337" s="36" t="d">
        <x:v>2026-10-28T14:16:22.777Z</x:v>
      </x:c>
    </x:row>
    <x:row r="338">
      <x:c r="A338" s="36" t="d">
        <x:v>2025-12-03T00:00:00.000Z</x:v>
      </x:c>
      <x:c r="B338" s="48" t="n">
        <x:v>298.53</x:v>
      </x:c>
      <x:c r="C338" s="48" t="n">
        <x:v>327.98</x:v>
      </x:c>
      <x:c r="D338" s="48" t="n">
        <x:v>324.08</x:v>
      </x:c>
      <x:c r="E338" s="48" t="n">
        <x:v>354.5</x:v>
      </x:c>
      <x:c r="F338" s="48" t="n">
        <x:v>156.29</x:v>
      </x:c>
      <x:c r="G338" s="48" t="n">
        <x:v>170.14</x:v>
      </x:c>
      <x:c r="H338" s="49" t="n">
        <x:v>576568.01</x:v>
      </x:c>
      <x:c r="I338" s="49" t="n">
        <x:v>578172.16</x:v>
      </x:c>
      <x:c r="J338" s="48" t="n">
        <x:f>IF(COUNT(B338:C338)&lt;2,"",B338-C338)</x:f>
        <x:v>-29.450000000000045</x:v>
      </x:c>
      <x:c r="K338" s="48" t="n">
        <x:f>IF(COUNT(D338,F338)&lt;2,"",D338-F338)</x:f>
        <x:v>167.79</x:v>
      </x:c>
      <x:c r="L338" s="48" t="n">
        <x:f>IF(COUNT(E338,G338)&lt;2,"",E338-G338)</x:f>
        <x:v>184.36</x:v>
      </x:c>
      <x:c r="M338" s="31" t="str">
        <x:v>网站结构化接口</x:v>
      </x:c>
      <x:c r="N338" s="36" t="d">
        <x:v>2026-10-28T14:16:22.777Z</x:v>
      </x:c>
    </x:row>
    <x:row r="339">
      <x:c r="A339" s="36" t="d">
        <x:v>2025-12-04T00:00:00.000Z</x:v>
      </x:c>
      <x:c r="B339" s="48" t="n">
        <x:v>277.4</x:v>
      </x:c>
      <x:c r="C339" s="48" t="n">
        <x:v>328.95</x:v>
      </x:c>
      <x:c r="D339" s="48" t="n">
        <x:v>302.77</x:v>
      </x:c>
      <x:c r="E339" s="48" t="n">
        <x:v>361</x:v>
      </x:c>
      <x:c r="F339" s="48" t="n">
        <x:v>118.29</x:v>
      </x:c>
      <x:c r="G339" s="48" t="n">
        <x:v>132</x:v>
      </x:c>
      <x:c r="H339" s="49" t="n">
        <x:v>571490.78</x:v>
      </x:c>
      <x:c r="I339" s="49" t="n">
        <x:v>587543.52</x:v>
      </x:c>
      <x:c r="J339" s="48" t="n">
        <x:f>IF(COUNT(B339:C339)&lt;2,"",B339-C339)</x:f>
        <x:v>-51.55000000000001</x:v>
      </x:c>
      <x:c r="K339" s="48" t="n">
        <x:f>IF(COUNT(D339,F339)&lt;2,"",D339-F339)</x:f>
        <x:v>184.47999999999996</x:v>
      </x:c>
      <x:c r="L339" s="48" t="n">
        <x:f>IF(COUNT(E339,G339)&lt;2,"",E339-G339)</x:f>
        <x:v>229</x:v>
      </x:c>
      <x:c r="M339" s="31" t="str">
        <x:v>网站结构化接口</x:v>
      </x:c>
      <x:c r="N339" s="36" t="d">
        <x:v>2026-10-28T14:16:22.777Z</x:v>
      </x:c>
    </x:row>
    <x:row r="340">
      <x:c r="A340" s="36" t="d">
        <x:v>2025-12-05T00:00:00.000Z</x:v>
      </x:c>
      <x:c r="B340" s="48" t="n">
        <x:v>158.54</x:v>
      </x:c>
      <x:c r="C340" s="48" t="n">
        <x:v>142.04</x:v>
      </x:c>
      <x:c r="D340" s="48" t="n">
        <x:v>183.65</x:v>
      </x:c>
      <x:c r="E340" s="48" t="n">
        <x:v>165.51</x:v>
      </x:c>
      <x:c r="F340" s="48" t="n">
        <x:v>72.25</x:v>
      </x:c>
      <x:c r="G340" s="48" t="n">
        <x:v>58.17</x:v>
      </x:c>
      <x:c r="H340" s="49" t="n">
        <x:v>560947.61</x:v>
      </x:c>
      <x:c r="I340" s="49" t="n">
        <x:v>571094.2</x:v>
      </x:c>
      <x:c r="J340" s="48" t="n">
        <x:f>IF(COUNT(B340:C340)&lt;2,"",B340-C340)</x:f>
        <x:v>16.5</x:v>
      </x:c>
      <x:c r="K340" s="48" t="n">
        <x:f>IF(COUNT(D340,F340)&lt;2,"",D340-F340)</x:f>
        <x:v>111.4</x:v>
      </x:c>
      <x:c r="L340" s="48" t="n">
        <x:f>IF(COUNT(E340,G340)&lt;2,"",E340-G340)</x:f>
        <x:v>107.33999999999999</x:v>
      </x:c>
      <x:c r="M340" s="31" t="str">
        <x:v>网站结构化接口</x:v>
      </x:c>
      <x:c r="N340" s="36" t="d">
        <x:v>2026-10-28T14:16:22.777Z</x:v>
      </x:c>
    </x:row>
    <x:row r="341">
      <x:c r="A341" s="36" t="d">
        <x:v>2025-12-06T00:00:00.000Z</x:v>
      </x:c>
      <x:c r="B341" s="48" t="n">
        <x:v>148.5</x:v>
      </x:c>
      <x:c r="C341" s="48" t="n">
        <x:v>129.77</x:v>
      </x:c>
      <x:c r="D341" s="48" t="n">
        <x:v>170.07</x:v>
      </x:c>
      <x:c r="E341" s="48" t="n">
        <x:v>154.26</x:v>
      </x:c>
      <x:c r="F341" s="48" t="n">
        <x:v>72.23</x:v>
      </x:c>
      <x:c r="G341" s="48" t="n">
        <x:v>49.18</x:v>
      </x:c>
      <x:c r="H341" s="49" t="n">
        <x:v>537724.23</x:v>
      </x:c>
      <x:c r="I341" s="49" t="n">
        <x:v>529776.08</x:v>
      </x:c>
      <x:c r="J341" s="48" t="n">
        <x:f>IF(COUNT(B341:C341)&lt;2,"",B341-C341)</x:f>
        <x:v>18.72999999999999</x:v>
      </x:c>
      <x:c r="K341" s="48" t="n">
        <x:f>IF(COUNT(D341,F341)&lt;2,"",D341-F341)</x:f>
        <x:v>97.83999999999999</x:v>
      </x:c>
      <x:c r="L341" s="48" t="n">
        <x:f>IF(COUNT(E341,G341)&lt;2,"",E341-G341)</x:f>
        <x:v>105.07999999999998</x:v>
      </x:c>
      <x:c r="M341" s="31" t="str">
        <x:v>网站结构化接口</x:v>
      </x:c>
      <x:c r="N341" s="36" t="d">
        <x:v>2026-10-28T14:16:22.777Z</x:v>
      </x:c>
    </x:row>
    <x:row r="342">
      <x:c r="A342" s="36" t="d">
        <x:v>2025-12-07T00:00:00.000Z</x:v>
      </x:c>
      <x:c r="B342" s="48" t="n">
        <x:v>306.52</x:v>
      </x:c>
      <x:c r="C342" s="48" t="n">
        <x:v>313.98</x:v>
      </x:c>
      <x:c r="D342" s="48" t="n">
        <x:v>355.61</x:v>
      </x:c>
      <x:c r="E342" s="48" t="n">
        <x:v>359.84</x:v>
      </x:c>
      <x:c r="F342" s="48" t="n">
        <x:v>92.59</x:v>
      </x:c>
      <x:c r="G342" s="48" t="n">
        <x:v>105.91</x:v>
      </x:c>
      <x:c r="H342" s="49" t="n">
        <x:v>564832.88</x:v>
      </x:c>
      <x:c r="I342" s="49" t="n">
        <x:v>553966.04</x:v>
      </x:c>
      <x:c r="J342" s="48" t="n">
        <x:f>IF(COUNT(B342:C342)&lt;2,"",B342-C342)</x:f>
        <x:v>-7.460000000000036</x:v>
      </x:c>
      <x:c r="K342" s="48" t="n">
        <x:f>IF(COUNT(D342,F342)&lt;2,"",D342-F342)</x:f>
        <x:v>263.02</x:v>
      </x:c>
      <x:c r="L342" s="48" t="n">
        <x:f>IF(COUNT(E342,G342)&lt;2,"",E342-G342)</x:f>
        <x:v>253.92999999999998</x:v>
      </x:c>
      <x:c r="M342" s="31" t="str">
        <x:v>网站结构化接口</x:v>
      </x:c>
      <x:c r="N342" s="36" t="d">
        <x:v>2026-10-28T14:16:22.777Z</x:v>
      </x:c>
    </x:row>
    <x:row r="343">
      <x:c r="A343" s="36" t="d">
        <x:v>2025-12-08T00:00:00.000Z</x:v>
      </x:c>
      <x:c r="B343" s="48" t="n">
        <x:v>351.67</x:v>
      </x:c>
      <x:c r="C343" s="48" t="n">
        <x:v>402.81</x:v>
      </x:c>
      <x:c r="D343" s="48" t="n">
        <x:v>383.86</x:v>
      </x:c>
      <x:c r="E343" s="48" t="n">
        <x:v>438.56</x:v>
      </x:c>
      <x:c r="F343" s="48" t="n">
        <x:v>165.99</x:v>
      </x:c>
      <x:c r="G343" s="48" t="n">
        <x:v>158.67</x:v>
      </x:c>
      <x:c r="H343" s="49" t="n">
        <x:v>590122.96</x:v>
      </x:c>
      <x:c r="I343" s="49" t="n">
        <x:v>585516.52</x:v>
      </x:c>
      <x:c r="J343" s="48" t="n">
        <x:f>IF(COUNT(B343:C343)&lt;2,"",B343-C343)</x:f>
        <x:v>-51.139999999999986</x:v>
      </x:c>
      <x:c r="K343" s="48" t="n">
        <x:f>IF(COUNT(D343,F343)&lt;2,"",D343-F343)</x:f>
        <x:v>217.87</x:v>
      </x:c>
      <x:c r="L343" s="48" t="n">
        <x:f>IF(COUNT(E343,G343)&lt;2,"",E343-G343)</x:f>
        <x:v>279.89</x:v>
      </x:c>
      <x:c r="M343" s="31" t="str">
        <x:v>网站结构化接口</x:v>
      </x:c>
      <x:c r="N343" s="36" t="d">
        <x:v>2026-10-28T14:16:22.777Z</x:v>
      </x:c>
    </x:row>
    <x:row r="344">
      <x:c r="A344" s="36" t="d">
        <x:v>2025-12-09T00:00:00.000Z</x:v>
      </x:c>
      <x:c r="B344" s="48" t="n">
        <x:v>237.9</x:v>
      </x:c>
      <x:c r="C344" s="48" t="n">
        <x:v>303.65</x:v>
      </x:c>
      <x:c r="D344" s="48" t="n">
        <x:v>259.06</x:v>
      </x:c>
      <x:c r="E344" s="48" t="n">
        <x:v>330.27</x:v>
      </x:c>
      <x:c r="F344" s="48" t="n">
        <x:v>132.6</x:v>
      </x:c>
      <x:c r="G344" s="48" t="n">
        <x:v>151.8</x:v>
      </x:c>
      <x:c r="H344" s="49" t="n">
        <x:v>599392.9</x:v>
      </x:c>
      <x:c r="I344" s="49" t="n">
        <x:v>607383.4</x:v>
      </x:c>
      <x:c r="J344" s="48" t="n">
        <x:f>IF(COUNT(B344:C344)&lt;2,"",B344-C344)</x:f>
        <x:v>-65.74999999999997</x:v>
      </x:c>
      <x:c r="K344" s="48" t="n">
        <x:f>IF(COUNT(D344,F344)&lt;2,"",D344-F344)</x:f>
        <x:v>126.46000000000001</x:v>
      </x:c>
      <x:c r="L344" s="48" t="n">
        <x:f>IF(COUNT(E344,G344)&lt;2,"",E344-G344)</x:f>
        <x:v>178.46999999999997</x:v>
      </x:c>
      <x:c r="M344" s="31" t="str">
        <x:v>网站结构化接口</x:v>
      </x:c>
      <x:c r="N344" s="36" t="d">
        <x:v>2026-10-28T14:16:22.777Z</x:v>
      </x:c>
    </x:row>
    <x:row r="345">
      <x:c r="A345" s="36" t="d">
        <x:v>2025-12-10T00:00:00.000Z</x:v>
      </x:c>
      <x:c r="B345" s="48" t="n">
        <x:v>281.39</x:v>
      </x:c>
      <x:c r="C345" s="48" t="n">
        <x:v>275.78</x:v>
      </x:c>
      <x:c r="D345" s="48" t="n">
        <x:v>308.86</x:v>
      </x:c>
      <x:c r="E345" s="48" t="n">
        <x:v>300.52</x:v>
      </x:c>
      <x:c r="F345" s="48" t="n">
        <x:v>123.97</x:v>
      </x:c>
      <x:c r="G345" s="48" t="n">
        <x:v>134.89</x:v>
      </x:c>
      <x:c r="H345" s="49" t="n">
        <x:v>563051.77</x:v>
      </x:c>
      <x:c r="I345" s="49" t="n">
        <x:v>553440.78</x:v>
      </x:c>
      <x:c r="J345" s="48" t="n">
        <x:f>IF(COUNT(B345:C345)&lt;2,"",B345-C345)</x:f>
        <x:v>5.610000000000014</x:v>
      </x:c>
      <x:c r="K345" s="48" t="n">
        <x:f>IF(COUNT(D345,F345)&lt;2,"",D345-F345)</x:f>
        <x:v>184.89000000000001</x:v>
      </x:c>
      <x:c r="L345" s="48" t="n">
        <x:f>IF(COUNT(E345,G345)&lt;2,"",E345-G345)</x:f>
        <x:v>165.63</x:v>
      </x:c>
      <x:c r="M345" s="31" t="str">
        <x:v>网站结构化接口</x:v>
      </x:c>
      <x:c r="N345" s="36" t="d">
        <x:v>2026-10-28T14:16:22.777Z</x:v>
      </x:c>
    </x:row>
    <x:row r="346">
      <x:c r="A346" s="36" t="d">
        <x:v>2025-12-11T00:00:00.000Z</x:v>
      </x:c>
      <x:c r="B346" s="48" t="n">
        <x:v>120.27</x:v>
      </x:c>
      <x:c r="C346" s="48" t="n">
        <x:v>127.26</x:v>
      </x:c>
      <x:c r="D346" s="48" t="n">
        <x:v>136.06</x:v>
      </x:c>
      <x:c r="E346" s="48" t="n">
        <x:v>139.88</x:v>
      </x:c>
      <x:c r="F346" s="48" t="n">
        <x:v>66.01</x:v>
      </x:c>
      <x:c r="G346" s="48" t="n">
        <x:v>79.4</x:v>
      </x:c>
      <x:c r="H346" s="49" t="n">
        <x:v>538642.57</x:v>
      </x:c>
      <x:c r="I346" s="49" t="n">
        <x:v>548480.15</x:v>
      </x:c>
      <x:c r="J346" s="48" t="n">
        <x:f>IF(COUNT(B346:C346)&lt;2,"",B346-C346)</x:f>
        <x:v>-6.990000000000009</x:v>
      </x:c>
      <x:c r="K346" s="48" t="n">
        <x:f>IF(COUNT(D346,F346)&lt;2,"",D346-F346)</x:f>
        <x:v>70.05</x:v>
      </x:c>
      <x:c r="L346" s="48" t="n">
        <x:f>IF(COUNT(E346,G346)&lt;2,"",E346-G346)</x:f>
        <x:v>60.47999999999999</x:v>
      </x:c>
      <x:c r="M346" s="31" t="str">
        <x:v>网站结构化接口</x:v>
      </x:c>
      <x:c r="N346" s="36" t="d">
        <x:v>2026-10-28T14:16:22.777Z</x:v>
      </x:c>
    </x:row>
    <x:row r="347">
      <x:c r="A347" s="36" t="d">
        <x:v>2025-12-12T00:00:00.000Z</x:v>
      </x:c>
      <x:c r="B347" s="48" t="n">
        <x:v>171.99</x:v>
      </x:c>
      <x:c r="C347" s="48" t="n">
        <x:v>178.27</x:v>
      </x:c>
      <x:c r="D347" s="48" t="n">
        <x:v>193.95</x:v>
      </x:c>
      <x:c r="E347" s="48" t="n">
        <x:v>194.27</x:v>
      </x:c>
      <x:c r="F347" s="48" t="n">
        <x:v>94.09</x:v>
      </x:c>
      <x:c r="G347" s="48" t="n">
        <x:v>113.78</x:v>
      </x:c>
      <x:c r="H347" s="49" t="n">
        <x:v>576822.93</x:v>
      </x:c>
      <x:c r="I347" s="49" t="n">
        <x:v>563183.19</x:v>
      </x:c>
      <x:c r="J347" s="48" t="n">
        <x:f>IF(COUNT(B347:C347)&lt;2,"",B347-C347)</x:f>
        <x:v>-6.280000000000001</x:v>
      </x:c>
      <x:c r="K347" s="48" t="n">
        <x:f>IF(COUNT(D347,F347)&lt;2,"",D347-F347)</x:f>
        <x:v>99.85999999999999</x:v>
      </x:c>
      <x:c r="L347" s="48" t="n">
        <x:f>IF(COUNT(E347,G347)&lt;2,"",E347-G347)</x:f>
        <x:v>80.49000000000001</x:v>
      </x:c>
      <x:c r="M347" s="31" t="str">
        <x:v>网站结构化接口</x:v>
      </x:c>
      <x:c r="N347" s="36" t="d">
        <x:v>2026-10-28T14:16:22.777Z</x:v>
      </x:c>
    </x:row>
    <x:row r="348">
      <x:c r="A348" s="36" t="d">
        <x:v>2025-12-13T00:00:00.000Z</x:v>
      </x:c>
      <x:c r="B348" s="48" t="n">
        <x:v>316.38</x:v>
      </x:c>
      <x:c r="C348" s="48" t="n">
        <x:v>308.42</x:v>
      </x:c>
      <x:c r="D348" s="48" t="n">
        <x:v>364.39</x:v>
      </x:c>
      <x:c r="E348" s="48" t="n">
        <x:v>357.9</x:v>
      </x:c>
      <x:c r="F348" s="48" t="n">
        <x:v>114.66</x:v>
      </x:c>
      <x:c r="G348" s="48" t="n">
        <x:v>108.04</x:v>
      </x:c>
      <x:c r="H348" s="49" t="n">
        <x:v>574793.5</x:v>
      </x:c>
      <x:c r="I348" s="49" t="n">
        <x:v>571269.56</x:v>
      </x:c>
      <x:c r="J348" s="48" t="n">
        <x:f>IF(COUNT(B348:C348)&lt;2,"",B348-C348)</x:f>
        <x:v>7.9599999999999795</x:v>
      </x:c>
      <x:c r="K348" s="48" t="n">
        <x:f>IF(COUNT(D348,F348)&lt;2,"",D348-F348)</x:f>
        <x:v>249.73</x:v>
      </x:c>
      <x:c r="L348" s="48" t="n">
        <x:f>IF(COUNT(E348,G348)&lt;2,"",E348-G348)</x:f>
        <x:v>249.85999999999996</x:v>
      </x:c>
      <x:c r="M348" s="31" t="str">
        <x:v>网站结构化接口</x:v>
      </x:c>
      <x:c r="N348" s="36" t="d">
        <x:v>2026-10-28T14:16:22.777Z</x:v>
      </x:c>
    </x:row>
    <x:row r="349">
      <x:c r="A349" s="36" t="d">
        <x:v>2025-12-14T00:00:00.000Z</x:v>
      </x:c>
      <x:c r="B349" s="48" t="n">
        <x:v>213.03</x:v>
      </x:c>
      <x:c r="C349" s="48" t="n">
        <x:v>172.05</x:v>
      </x:c>
      <x:c r="D349" s="48" t="n">
        <x:v>229.29</x:v>
      </x:c>
      <x:c r="E349" s="48" t="n">
        <x:v>185.73</x:v>
      </x:c>
      <x:c r="F349" s="48" t="n">
        <x:v>132.02</x:v>
      </x:c>
      <x:c r="G349" s="48" t="n">
        <x:v>109.02</x:v>
      </x:c>
      <x:c r="H349" s="49" t="n">
        <x:v>590064.31</x:v>
      </x:c>
      <x:c r="I349" s="49" t="n">
        <x:v>594295.97</x:v>
      </x:c>
      <x:c r="J349" s="48" t="n">
        <x:f>IF(COUNT(B349:C349)&lt;2,"",B349-C349)</x:f>
        <x:v>40.97999999999999</x:v>
      </x:c>
      <x:c r="K349" s="48" t="n">
        <x:f>IF(COUNT(D349,F349)&lt;2,"",D349-F349)</x:f>
        <x:v>97.26999999999998</x:v>
      </x:c>
      <x:c r="L349" s="48" t="n">
        <x:f>IF(COUNT(E349,G349)&lt;2,"",E349-G349)</x:f>
        <x:v>76.71</x:v>
      </x:c>
      <x:c r="M349" s="31" t="str">
        <x:v>网站结构化接口</x:v>
      </x:c>
      <x:c r="N349" s="36" t="d">
        <x:v>2026-10-28T14:16:22.777Z</x:v>
      </x:c>
    </x:row>
    <x:row r="350">
      <x:c r="A350" s="36" t="d">
        <x:v>2025-12-15T00:00:00.000Z</x:v>
      </x:c>
      <x:c r="B350" s="48" t="n">
        <x:v>338.92</x:v>
      </x:c>
      <x:c r="C350" s="48" t="n">
        <x:v>343.61</x:v>
      </x:c>
      <x:c r="D350" s="48" t="n">
        <x:v>370.93</x:v>
      </x:c>
      <x:c r="E350" s="48" t="n">
        <x:v>379.88</x:v>
      </x:c>
      <x:c r="F350" s="48" t="n">
        <x:v>136.44</x:v>
      </x:c>
      <x:c r="G350" s="48" t="n">
        <x:v>110.25</x:v>
      </x:c>
      <x:c r="H350" s="49" t="n">
        <x:v>626019.9</x:v>
      </x:c>
      <x:c r="I350" s="49" t="n">
        <x:v>625800.8</x:v>
      </x:c>
      <x:c r="J350" s="48" t="n">
        <x:f>IF(COUNT(B350:C350)&lt;2,"",B350-C350)</x:f>
        <x:v>-4.689999999999998</x:v>
      </x:c>
      <x:c r="K350" s="48" t="n">
        <x:f>IF(COUNT(D350,F350)&lt;2,"",D350-F350)</x:f>
        <x:v>234.49</x:v>
      </x:c>
      <x:c r="L350" s="48" t="n">
        <x:f>IF(COUNT(E350,G350)&lt;2,"",E350-G350)</x:f>
        <x:v>269.63</x:v>
      </x:c>
      <x:c r="M350" s="31" t="str">
        <x:v>网站结构化接口</x:v>
      </x:c>
      <x:c r="N350" s="36" t="d">
        <x:v>2026-10-28T14:16:22.777Z</x:v>
      </x:c>
    </x:row>
    <x:row r="351">
      <x:c r="A351" s="36" t="d">
        <x:v>2025-12-16T00:00:00.000Z</x:v>
      </x:c>
      <x:c r="B351" s="48" t="n">
        <x:v>237.95</x:v>
      </x:c>
      <x:c r="C351" s="48" t="n">
        <x:v>263.88</x:v>
      </x:c>
      <x:c r="D351" s="48" t="n">
        <x:v>255.4</x:v>
      </x:c>
      <x:c r="E351" s="48" t="n">
        <x:v>285.45</x:v>
      </x:c>
      <x:c r="F351" s="48" t="n">
        <x:v>138.33</x:v>
      </x:c>
      <x:c r="G351" s="48" t="n">
        <x:v>143.78</x:v>
      </x:c>
      <x:c r="H351" s="49" t="n">
        <x:v>601322.41</x:v>
      </x:c>
      <x:c r="I351" s="49" t="n">
        <x:v>602551.47</x:v>
      </x:c>
      <x:c r="J351" s="48" t="n">
        <x:f>IF(COUNT(B351:C351)&lt;2,"",B351-C351)</x:f>
        <x:v>-25.930000000000007</x:v>
      </x:c>
      <x:c r="K351" s="48" t="n">
        <x:f>IF(COUNT(D351,F351)&lt;2,"",D351-F351)</x:f>
        <x:v>117.07</x:v>
      </x:c>
      <x:c r="L351" s="48" t="n">
        <x:f>IF(COUNT(E351,G351)&lt;2,"",E351-G351)</x:f>
        <x:v>141.67</x:v>
      </x:c>
      <x:c r="M351" s="31" t="str">
        <x:v>网站结构化接口</x:v>
      </x:c>
      <x:c r="N351" s="36" t="d">
        <x:v>2026-10-28T14:16:22.777Z</x:v>
      </x:c>
    </x:row>
    <x:row r="352">
      <x:c r="A352" s="36" t="d">
        <x:v>2025-12-17T00:00:00.000Z</x:v>
      </x:c>
      <x:c r="B352" s="48" t="n">
        <x:v>279.18</x:v>
      </x:c>
      <x:c r="C352" s="48" t="n">
        <x:v>272.77</x:v>
      </x:c>
      <x:c r="D352" s="48" t="n">
        <x:v>320.38</x:v>
      </x:c>
      <x:c r="E352" s="48" t="n">
        <x:v>307.83</x:v>
      </x:c>
      <x:c r="F352" s="48" t="n">
        <x:v>97.13</x:v>
      </x:c>
      <x:c r="G352" s="48" t="n">
        <x:v>114.9</x:v>
      </x:c>
      <x:c r="H352" s="49" t="n">
        <x:v>570876.22</x:v>
      </x:c>
      <x:c r="I352" s="49" t="n">
        <x:v>556842.55</x:v>
      </x:c>
      <x:c r="J352" s="48" t="n">
        <x:f>IF(COUNT(B352:C352)&lt;2,"",B352-C352)</x:f>
        <x:v>6.410000000000025</x:v>
      </x:c>
      <x:c r="K352" s="48" t="n">
        <x:f>IF(COUNT(D352,F352)&lt;2,"",D352-F352)</x:f>
        <x:v>223.25</x:v>
      </x:c>
      <x:c r="L352" s="48" t="n">
        <x:f>IF(COUNT(E352,G352)&lt;2,"",E352-G352)</x:f>
        <x:v>192.92999999999998</x:v>
      </x:c>
      <x:c r="M352" s="31" t="str">
        <x:v>网站结构化接口</x:v>
      </x:c>
      <x:c r="N352" s="36" t="d">
        <x:v>2026-10-28T14:16:22.777Z</x:v>
      </x:c>
    </x:row>
    <x:row r="353">
      <x:c r="A353" s="36" t="d">
        <x:v>2025-12-18T00:00:00.000Z</x:v>
      </x:c>
      <x:c r="B353" s="48" t="n">
        <x:v>283.94</x:v>
      </x:c>
      <x:c r="C353" s="48" t="n">
        <x:v>171.96</x:v>
      </x:c>
      <x:c r="D353" s="48" t="n">
        <x:v>322.41</x:v>
      </x:c>
      <x:c r="E353" s="48" t="n">
        <x:v>186.85</x:v>
      </x:c>
      <x:c r="F353" s="48" t="n">
        <x:v>156.97</x:v>
      </x:c>
      <x:c r="G353" s="48" t="n">
        <x:v>125.42</x:v>
      </x:c>
      <x:c r="H353" s="49" t="n">
        <x:v>548197.21</x:v>
      </x:c>
      <x:c r="I353" s="49" t="n">
        <x:v>540087.11</x:v>
      </x:c>
      <x:c r="J353" s="48" t="n">
        <x:f>IF(COUNT(B353:C353)&lt;2,"",B353-C353)</x:f>
        <x:v>111.97999999999999</x:v>
      </x:c>
      <x:c r="K353" s="48" t="n">
        <x:f>IF(COUNT(D353,F353)&lt;2,"",D353-F353)</x:f>
        <x:v>165.44000000000003</x:v>
      </x:c>
      <x:c r="L353" s="48" t="n">
        <x:f>IF(COUNT(E353,G353)&lt;2,"",E353-G353)</x:f>
        <x:v>61.42999999999999</x:v>
      </x:c>
      <x:c r="M353" s="31" t="str">
        <x:v>网站结构化接口</x:v>
      </x:c>
      <x:c r="N353" s="36" t="d">
        <x:v>2026-10-28T14:16:22.777Z</x:v>
      </x:c>
    </x:row>
    <x:row r="354">
      <x:c r="A354" s="36" t="d">
        <x:v>2025-12-19T00:00:00.000Z</x:v>
      </x:c>
      <x:c r="B354" s="48" t="n">
        <x:v>258.71</x:v>
      </x:c>
      <x:c r="C354" s="48" t="n">
        <x:v>234.05</x:v>
      </x:c>
      <x:c r="D354" s="48" t="n">
        <x:v>287.58</x:v>
      </x:c>
      <x:c r="E354" s="48" t="n">
        <x:v>269.77</x:v>
      </x:c>
      <x:c r="F354" s="48" t="n">
        <x:v>148.3</x:v>
      </x:c>
      <x:c r="G354" s="48" t="n">
        <x:v>110.9</x:v>
      </x:c>
      <x:c r="H354" s="49" t="n">
        <x:v>528661.29</x:v>
      </x:c>
      <x:c r="I354" s="49" t="n">
        <x:v>528748.69</x:v>
      </x:c>
      <x:c r="J354" s="48" t="n">
        <x:f>IF(COUNT(B354:C354)&lt;2,"",B354-C354)</x:f>
        <x:v>24.659999999999968</x:v>
      </x:c>
      <x:c r="K354" s="48" t="n">
        <x:f>IF(COUNT(D354,F354)&lt;2,"",D354-F354)</x:f>
        <x:v>139.27999999999997</x:v>
      </x:c>
      <x:c r="L354" s="48" t="n">
        <x:f>IF(COUNT(E354,G354)&lt;2,"",E354-G354)</x:f>
        <x:v>158.86999999999998</x:v>
      </x:c>
      <x:c r="M354" s="31" t="str">
        <x:v>网站结构化接口</x:v>
      </x:c>
      <x:c r="N354" s="36" t="d">
        <x:v>2026-10-28T14:16:22.777Z</x:v>
      </x:c>
    </x:row>
    <x:row r="355">
      <x:c r="A355" s="36" t="d">
        <x:v>2025-12-20T00:00:00.000Z</x:v>
      </x:c>
      <x:c r="B355" s="48" t="n">
        <x:v>346.9</x:v>
      </x:c>
      <x:c r="C355" s="48" t="n">
        <x:v>369.76</x:v>
      </x:c>
      <x:c r="D355" s="48" t="n">
        <x:v>397.95</x:v>
      </x:c>
      <x:c r="E355" s="48" t="n">
        <x:v>428.5</x:v>
      </x:c>
      <x:c r="F355" s="48" t="n">
        <x:v>133.92</x:v>
      </x:c>
      <x:c r="G355" s="48" t="n">
        <x:v>117.88</x:v>
      </x:c>
      <x:c r="H355" s="49" t="n">
        <x:v>536983.07</x:v>
      </x:c>
      <x:c r="I355" s="49" t="n">
        <x:v>554042.34</x:v>
      </x:c>
      <x:c r="J355" s="48" t="n">
        <x:f>IF(COUNT(B355:C355)&lt;2,"",B355-C355)</x:f>
        <x:v>-22.860000000000014</x:v>
      </x:c>
      <x:c r="K355" s="48" t="n">
        <x:f>IF(COUNT(D355,F355)&lt;2,"",D355-F355)</x:f>
        <x:v>264.03</x:v>
      </x:c>
      <x:c r="L355" s="48" t="n">
        <x:f>IF(COUNT(E355,G355)&lt;2,"",E355-G355)</x:f>
        <x:v>310.62</x:v>
      </x:c>
      <x:c r="M355" s="31" t="str">
        <x:v>网站结构化接口</x:v>
      </x:c>
      <x:c r="N355" s="36" t="d">
        <x:v>2026-10-28T14:16:22.777Z</x:v>
      </x:c>
    </x:row>
    <x:row r="356">
      <x:c r="A356" s="36" t="d">
        <x:v>2025-12-21T00:00:00.000Z</x:v>
      </x:c>
      <x:c r="B356" s="48" t="n">
        <x:v>191.56</x:v>
      </x:c>
      <x:c r="C356" s="48" t="n">
        <x:v>121.26</x:v>
      </x:c>
      <x:c r="D356" s="48" t="n">
        <x:v>226.89</x:v>
      </x:c>
      <x:c r="E356" s="48" t="n">
        <x:v>140.49</x:v>
      </x:c>
      <x:c r="F356" s="48" t="n">
        <x:v>93.3</x:v>
      </x:c>
      <x:c r="G356" s="48" t="n">
        <x:v>70.24</x:v>
      </x:c>
      <x:c r="H356" s="49" t="n">
        <x:v>526578.39</x:v>
      </x:c>
      <x:c r="I356" s="49" t="n">
        <x:v>509363.26</x:v>
      </x:c>
      <x:c r="J356" s="48" t="n">
        <x:f>IF(COUNT(B356:C356)&lt;2,"",B356-C356)</x:f>
        <x:v>70.3</x:v>
      </x:c>
      <x:c r="K356" s="48" t="n">
        <x:f>IF(COUNT(D356,F356)&lt;2,"",D356-F356)</x:f>
        <x:v>133.58999999999997</x:v>
      </x:c>
      <x:c r="L356" s="48" t="n">
        <x:f>IF(COUNT(E356,G356)&lt;2,"",E356-G356)</x:f>
        <x:v>70.25000000000001</x:v>
      </x:c>
      <x:c r="M356" s="31" t="str">
        <x:v>网站结构化接口</x:v>
      </x:c>
      <x:c r="N356" s="36" t="d">
        <x:v>2026-10-28T14:16:22.777Z</x:v>
      </x:c>
    </x:row>
    <x:row r="357">
      <x:c r="A357" s="36" t="d">
        <x:v>2025-12-22T00:00:00.000Z</x:v>
      </x:c>
      <x:c r="B357" s="48" t="n">
        <x:v>310.11</x:v>
      </x:c>
      <x:c r="C357" s="48" t="n">
        <x:v>375.64</x:v>
      </x:c>
      <x:c r="D357" s="48" t="n">
        <x:v>344.03</x:v>
      </x:c>
      <x:c r="E357" s="48" t="n">
        <x:v>406.43</x:v>
      </x:c>
      <x:c r="F357" s="48" t="n">
        <x:v>180.57</x:v>
      </x:c>
      <x:c r="G357" s="48" t="n">
        <x:v>249.85</x:v>
      </x:c>
      <x:c r="H357" s="49" t="n">
        <x:v>558630.03</x:v>
      </x:c>
      <x:c r="I357" s="49" t="n">
        <x:v>580612.71</x:v>
      </x:c>
      <x:c r="J357" s="48" t="n">
        <x:f>IF(COUNT(B357:C357)&lt;2,"",B357-C357)</x:f>
        <x:v>-65.52999999999997</x:v>
      </x:c>
      <x:c r="K357" s="48" t="n">
        <x:f>IF(COUNT(D357,F357)&lt;2,"",D357-F357)</x:f>
        <x:v>163.45999999999998</x:v>
      </x:c>
      <x:c r="L357" s="48" t="n">
        <x:f>IF(COUNT(E357,G357)&lt;2,"",E357-G357)</x:f>
        <x:v>156.58</x:v>
      </x:c>
      <x:c r="M357" s="31" t="str">
        <x:v>网站结构化接口</x:v>
      </x:c>
      <x:c r="N357" s="36" t="d">
        <x:v>2026-10-28T14:16:22.777Z</x:v>
      </x:c>
    </x:row>
    <x:row r="358">
      <x:c r="A358" s="36" t="d">
        <x:v>2025-12-23T00:00:00.000Z</x:v>
      </x:c>
      <x:c r="B358" s="48" t="n">
        <x:v>257.05</x:v>
      </x:c>
      <x:c r="C358" s="48" t="n">
        <x:v>265.35</x:v>
      </x:c>
      <x:c r="D358" s="48" t="n">
        <x:v>288.57</x:v>
      </x:c>
      <x:c r="E358" s="48" t="n">
        <x:v>294.55</x:v>
      </x:c>
      <x:c r="F358" s="48" t="n">
        <x:v>122.04</x:v>
      </x:c>
      <x:c r="G358" s="48" t="n">
        <x:v>123.71</x:v>
      </x:c>
      <x:c r="H358" s="49" t="n">
        <x:v>597766.17</x:v>
      </x:c>
      <x:c r="I358" s="49" t="n">
        <x:v>591834.8</x:v>
      </x:c>
      <x:c r="J358" s="48" t="n">
        <x:f>IF(COUNT(B358:C358)&lt;2,"",B358-C358)</x:f>
        <x:v>-8.300000000000011</x:v>
      </x:c>
      <x:c r="K358" s="48" t="n">
        <x:f>IF(COUNT(D358,F358)&lt;2,"",D358-F358)</x:f>
        <x:v>166.52999999999997</x:v>
      </x:c>
      <x:c r="L358" s="48" t="n">
        <x:f>IF(COUNT(E358,G358)&lt;2,"",E358-G358)</x:f>
        <x:v>170.84000000000003</x:v>
      </x:c>
      <x:c r="M358" s="31" t="str">
        <x:v>网站结构化接口</x:v>
      </x:c>
      <x:c r="N358" s="36" t="d">
        <x:v>2026-10-28T14:16:22.777Z</x:v>
      </x:c>
    </x:row>
    <x:row r="359">
      <x:c r="A359" s="36" t="d">
        <x:v>2025-12-24T00:00:00.000Z</x:v>
      </x:c>
      <x:c r="B359" s="48" t="n">
        <x:v>245.19</x:v>
      </x:c>
      <x:c r="C359" s="48" t="n">
        <x:v>223.03</x:v>
      </x:c>
      <x:c r="D359" s="48" t="n">
        <x:v>263.14</x:v>
      </x:c>
      <x:c r="E359" s="48" t="n">
        <x:v>240.46</x:v>
      </x:c>
      <x:c r="F359" s="48" t="n">
        <x:v>140.17</x:v>
      </x:c>
      <x:c r="G359" s="48" t="n">
        <x:v>126.05</x:v>
      </x:c>
      <x:c r="H359" s="49" t="n">
        <x:v>596700</x:v>
      </x:c>
      <x:c r="I359" s="49" t="n">
        <x:v>596041.34</x:v>
      </x:c>
      <x:c r="J359" s="48" t="n">
        <x:f>IF(COUNT(B359:C359)&lt;2,"",B359-C359)</x:f>
        <x:v>22.159999999999997</x:v>
      </x:c>
      <x:c r="K359" s="48" t="n">
        <x:f>IF(COUNT(D359,F359)&lt;2,"",D359-F359)</x:f>
        <x:v>122.97</x:v>
      </x:c>
      <x:c r="L359" s="48" t="n">
        <x:f>IF(COUNT(E359,G359)&lt;2,"",E359-G359)</x:f>
        <x:v>114.41000000000001</x:v>
      </x:c>
      <x:c r="M359" s="31" t="str">
        <x:v>网站结构化接口</x:v>
      </x:c>
      <x:c r="N359" s="36" t="d">
        <x:v>2026-10-28T14:16:22.777Z</x:v>
      </x:c>
    </x:row>
    <x:row r="360">
      <x:c r="A360" s="36" t="d">
        <x:v>2025-12-25T00:00:00.000Z</x:v>
      </x:c>
      <x:c r="B360" s="48" t="n">
        <x:v>320.72</x:v>
      </x:c>
      <x:c r="C360" s="48" t="n">
        <x:v>347.19</x:v>
      </x:c>
      <x:c r="D360" s="48" t="n">
        <x:v>342.67</x:v>
      </x:c>
      <x:c r="E360" s="48" t="n">
        <x:v>372.31</x:v>
      </x:c>
      <x:c r="F360" s="48" t="n">
        <x:v>161.42</x:v>
      </x:c>
      <x:c r="G360" s="48" t="n">
        <x:v>153.6</x:v>
      </x:c>
      <x:c r="H360" s="49" t="n">
        <x:v>613238.68</x:v>
      </x:c>
      <x:c r="I360" s="49" t="n">
        <x:v>628787.43</x:v>
      </x:c>
      <x:c r="J360" s="48" t="n">
        <x:f>IF(COUNT(B360:C360)&lt;2,"",B360-C360)</x:f>
        <x:v>-26.46999999999997</x:v>
      </x:c>
      <x:c r="K360" s="48" t="n">
        <x:f>IF(COUNT(D360,F360)&lt;2,"",D360-F360)</x:f>
        <x:v>181.25000000000003</x:v>
      </x:c>
      <x:c r="L360" s="48" t="n">
        <x:f>IF(COUNT(E360,G360)&lt;2,"",E360-G360)</x:f>
        <x:v>218.71</x:v>
      </x:c>
      <x:c r="M360" s="31" t="str">
        <x:v>网站结构化接口</x:v>
      </x:c>
      <x:c r="N360" s="36" t="d">
        <x:v>2026-10-28T14:16:22.777Z</x:v>
      </x:c>
    </x:row>
    <x:row r="361">
      <x:c r="A361" s="36" t="d">
        <x:v>2025-12-26T00:00:00.000Z</x:v>
      </x:c>
      <x:c r="B361" s="48" t="n">
        <x:v>386.58</x:v>
      </x:c>
      <x:c r="C361" s="48" t="n">
        <x:v>372.16</x:v>
      </x:c>
      <x:c r="D361" s="48" t="n">
        <x:v>410.17</x:v>
      </x:c>
      <x:c r="E361" s="48" t="n">
        <x:v>397.49</x:v>
      </x:c>
      <x:c r="F361" s="48" t="n">
        <x:v>255.02</x:v>
      </x:c>
      <x:c r="G361" s="48" t="n">
        <x:v>238.33</x:v>
      </x:c>
      <x:c r="H361" s="49" t="n">
        <x:v>600103.34</x:v>
      </x:c>
      <x:c r="I361" s="49" t="n">
        <x:v>616180.08</x:v>
      </x:c>
      <x:c r="J361" s="48" t="n">
        <x:f>IF(COUNT(B361:C361)&lt;2,"",B361-C361)</x:f>
        <x:v>14.419999999999959</x:v>
      </x:c>
      <x:c r="K361" s="48" t="n">
        <x:f>IF(COUNT(D361,F361)&lt;2,"",D361-F361)</x:f>
        <x:v>155.15</x:v>
      </x:c>
      <x:c r="L361" s="48" t="n">
        <x:f>IF(COUNT(E361,G361)&lt;2,"",E361-G361)</x:f>
        <x:v>159.16</x:v>
      </x:c>
      <x:c r="M361" s="31" t="str">
        <x:v>网站结构化接口</x:v>
      </x:c>
      <x:c r="N361" s="36" t="d">
        <x:v>2026-10-28T14:16:22.777Z</x:v>
      </x:c>
    </x:row>
    <x:row r="362">
      <x:c r="A362" s="36" t="d">
        <x:v>2025-12-27T00:00:00.000Z</x:v>
      </x:c>
      <x:c r="B362" s="48" t="n">
        <x:v>342.34</x:v>
      </x:c>
      <x:c r="C362" s="48" t="n">
        <x:v>396.53</x:v>
      </x:c>
      <x:c r="D362" s="48" t="n">
        <x:v>367.63</x:v>
      </x:c>
      <x:c r="E362" s="48" t="n">
        <x:v>425.56</x:v>
      </x:c>
      <x:c r="F362" s="48" t="n">
        <x:v>176.32</x:v>
      </x:c>
      <x:c r="G362" s="48" t="n">
        <x:v>187.62</x:v>
      </x:c>
      <x:c r="H362" s="49" t="n">
        <x:v>597930.08</x:v>
      </x:c>
      <x:c r="I362" s="49" t="n">
        <x:v>611195.8</x:v>
      </x:c>
      <x:c r="J362" s="48" t="n">
        <x:f>IF(COUNT(B362:C362)&lt;2,"",B362-C362)</x:f>
        <x:v>-54.19</x:v>
      </x:c>
      <x:c r="K362" s="48" t="n">
        <x:f>IF(COUNT(D362,F362)&lt;2,"",D362-F362)</x:f>
        <x:v>191.31</x:v>
      </x:c>
      <x:c r="L362" s="48" t="n">
        <x:f>IF(COUNT(E362,G362)&lt;2,"",E362-G362)</x:f>
        <x:v>237.94</x:v>
      </x:c>
      <x:c r="M362" s="31" t="str">
        <x:v>网站结构化接口</x:v>
      </x:c>
      <x:c r="N362" s="36" t="d">
        <x:v>2026-10-28T14:16:22.777Z</x:v>
      </x:c>
    </x:row>
    <x:row r="363">
      <x:c r="A363" s="36" t="d">
        <x:v>2025-12-28T00:00:00.000Z</x:v>
      </x:c>
      <x:c r="B363" s="48" t="n">
        <x:v>294.81</x:v>
      </x:c>
      <x:c r="C363" s="48" t="n">
        <x:v>286.02</x:v>
      </x:c>
      <x:c r="D363" s="48" t="n">
        <x:v>317.61</x:v>
      </x:c>
      <x:c r="E363" s="48" t="n">
        <x:v>305.91</x:v>
      </x:c>
      <x:c r="F363" s="48" t="n">
        <x:v>173.06</x:v>
      </x:c>
      <x:c r="G363" s="48" t="n">
        <x:v>183.05</x:v>
      </x:c>
      <x:c r="H363" s="49" t="n">
        <x:v>595704.3</x:v>
      </x:c>
      <x:c r="I363" s="49" t="n">
        <x:v>590495.94</x:v>
      </x:c>
      <x:c r="J363" s="48" t="n">
        <x:f>IF(COUNT(B363:C363)&lt;2,"",B363-C363)</x:f>
        <x:v>8.79000000000002</x:v>
      </x:c>
      <x:c r="K363" s="48" t="n">
        <x:f>IF(COUNT(D363,F363)&lt;2,"",D363-F363)</x:f>
        <x:v>144.55</x:v>
      </x:c>
      <x:c r="L363" s="48" t="n">
        <x:f>IF(COUNT(E363,G363)&lt;2,"",E363-G363)</x:f>
        <x:v>122.86000000000001</x:v>
      </x:c>
      <x:c r="M363" s="31" t="str">
        <x:v>网站结构化接口</x:v>
      </x:c>
      <x:c r="N363" s="36" t="d">
        <x:v>2026-10-28T14:16:22.777Z</x:v>
      </x:c>
    </x:row>
    <x:row r="364">
      <x:c r="A364" s="36" t="d">
        <x:v>2025-12-29T00:00:00.000Z</x:v>
      </x:c>
      <x:c r="B364" s="48" t="n">
        <x:v>372.42</x:v>
      </x:c>
      <x:c r="C364" s="48" t="n">
        <x:v>384.97</x:v>
      </x:c>
      <x:c r="D364" s="48" t="n">
        <x:v>400</x:v>
      </x:c>
      <x:c r="E364" s="48" t="n">
        <x:v>412.62</x:v>
      </x:c>
      <x:c r="F364" s="48" t="n">
        <x:v>144.6</x:v>
      </x:c>
      <x:c r="G364" s="48" t="n">
        <x:v>164.63</x:v>
      </x:c>
      <x:c r="H364" s="49" t="n">
        <x:v>603456.14</x:v>
      </x:c>
      <x:c r="I364" s="49" t="n">
        <x:v>606444.48</x:v>
      </x:c>
      <x:c r="J364" s="48" t="n">
        <x:f>IF(COUNT(B364:C364)&lt;2,"",B364-C364)</x:f>
        <x:v>-12.550000000000011</x:v>
      </x:c>
      <x:c r="K364" s="48" t="n">
        <x:f>IF(COUNT(D364,F364)&lt;2,"",D364-F364)</x:f>
        <x:v>255.4</x:v>
      </x:c>
      <x:c r="L364" s="48" t="n">
        <x:f>IF(COUNT(E364,G364)&lt;2,"",E364-G364)</x:f>
        <x:v>247.99</x:v>
      </x:c>
      <x:c r="M364" s="31" t="str">
        <x:v>网站结构化接口</x:v>
      </x:c>
      <x:c r="N364" s="36" t="d">
        <x:v>2026-10-28T14:16:22.777Z</x:v>
      </x:c>
    </x:row>
    <x:row r="365">
      <x:c r="A365" s="36" t="d">
        <x:v>2025-12-30T00:00:00.000Z</x:v>
      </x:c>
      <x:c r="B365" s="48" t="n">
        <x:v>289.06</x:v>
      </x:c>
      <x:c r="C365" s="48" t="n">
        <x:v>247.91</x:v>
      </x:c>
      <x:c r="D365" s="48" t="n">
        <x:v>309.37</x:v>
      </x:c>
      <x:c r="E365" s="48" t="n">
        <x:v>264.88</x:v>
      </x:c>
      <x:c r="F365" s="48" t="n">
        <x:v>161.51</x:v>
      </x:c>
      <x:c r="G365" s="48" t="n">
        <x:v>154.56</x:v>
      </x:c>
      <x:c r="H365" s="49" t="n">
        <x:v>580477.77</x:v>
      </x:c>
      <x:c r="I365" s="49" t="n">
        <x:v>599292.11</x:v>
      </x:c>
      <x:c r="J365" s="48" t="n">
        <x:f>IF(COUNT(B365:C365)&lt;2,"",B365-C365)</x:f>
        <x:v>41.150000000000006</x:v>
      </x:c>
      <x:c r="K365" s="48" t="n">
        <x:f>IF(COUNT(D365,F365)&lt;2,"",D365-F365)</x:f>
        <x:v>147.86</x:v>
      </x:c>
      <x:c r="L365" s="48" t="n">
        <x:f>IF(COUNT(E365,G365)&lt;2,"",E365-G365)</x:f>
        <x:v>110.32</x:v>
      </x:c>
      <x:c r="M365" s="31" t="str">
        <x:v>网站结构化接口</x:v>
      </x:c>
      <x:c r="N365" s="36" t="d">
        <x:v>2026-10-28T14:16:22.777Z</x:v>
      </x:c>
    </x:row>
    <x:row r="366">
      <x:c r="A366" s="36" t="d">
        <x:v>2025-12-31T00:00:00.000Z</x:v>
      </x:c>
      <x:c r="B366" s="48" t="n">
        <x:v>316.17</x:v>
      </x:c>
      <x:c r="C366" s="48" t="n">
        <x:v>331.21</x:v>
      </x:c>
      <x:c r="D366" s="48" t="n">
        <x:v>320.42</x:v>
      </x:c>
      <x:c r="E366" s="48" t="n">
        <x:v>335.67</x:v>
      </x:c>
      <x:c r="F366" s="48" t="n">
        <x:v>270.1</x:v>
      </x:c>
      <x:c r="G366" s="48" t="n">
        <x:v>285.33</x:v>
      </x:c>
      <x:c r="H366" s="49" t="n">
        <x:v>615992.28</x:v>
      </x:c>
      <x:c r="I366" s="49" t="n">
        <x:v>616517.02</x:v>
      </x:c>
      <x:c r="J366" s="48" t="n">
        <x:f>IF(COUNT(B366:C366)&lt;2,"",B366-C366)</x:f>
        <x:v>-15.039999999999964</x:v>
      </x:c>
      <x:c r="K366" s="48" t="n">
        <x:f>IF(COUNT(D366,F366)&lt;2,"",D366-F366)</x:f>
        <x:v>50.31999999999999</x:v>
      </x:c>
      <x:c r="L366" s="48" t="n">
        <x:f>IF(COUNT(E366,G366)&lt;2,"",E366-G366)</x:f>
        <x:v>50.34000000000003</x:v>
      </x:c>
      <x:c r="M366" s="31" t="str">
        <x:v>网站结构化接口</x:v>
      </x:c>
      <x:c r="N366" s="36" t="d">
        <x:v>2026-10-28T14:16:22.777Z</x:v>
      </x:c>
    </x:row>
    <x:row r="367">
      <x:c r="A367" s="36" t="d">
        <x:v>2026-01-01T00:00:00.000Z</x:v>
      </x:c>
      <x:c r="B367" s="48" t="n">
        <x:v>417.83</x:v>
      </x:c>
      <x:c r="C367" s="48" t="n">
        <x:v>433.55</x:v>
      </x:c>
      <x:c r="D367" s="48" t="n">
        <x:v>438.64</x:v>
      </x:c>
      <x:c r="E367" s="48" t="n">
        <x:v>450.04</x:v>
      </x:c>
      <x:c r="F367" s="48" t="n">
        <x:v>222.58</x:v>
      </x:c>
      <x:c r="G367" s="48" t="n">
        <x:v>254.58</x:v>
      </x:c>
      <x:c r="H367" s="49" t="n">
        <x:v>637078.41</x:v>
      </x:c>
      <x:c r="I367" s="49" t="n">
        <x:v>650040.99</x:v>
      </x:c>
      <x:c r="J367" s="48" t="n">
        <x:f>IF(COUNT(B367:C367)&lt;2,"",B367-C367)</x:f>
        <x:v>-15.720000000000027</x:v>
      </x:c>
      <x:c r="K367" s="48" t="n">
        <x:f>IF(COUNT(D367,F367)&lt;2,"",D367-F367)</x:f>
        <x:v>216.05999999999997</x:v>
      </x:c>
      <x:c r="L367" s="48" t="n">
        <x:f>IF(COUNT(E367,G367)&lt;2,"",E367-G367)</x:f>
        <x:v>195.46</x:v>
      </x:c>
      <x:c r="M367" s="31" t="str">
        <x:v>网站结构化接口</x:v>
      </x:c>
      <x:c r="N367" s="36" t="d">
        <x:v>2026-10-28T14:16:22.777Z</x:v>
      </x:c>
    </x:row>
    <x:row r="368">
      <x:c r="A368" s="36" t="d">
        <x:v>2026-01-02T00:00:00.000Z</x:v>
      </x:c>
      <x:c r="B368" s="48" t="n">
        <x:v>324.22</x:v>
      </x:c>
      <x:c r="C368" s="48" t="n">
        <x:v>405.9</x:v>
      </x:c>
      <x:c r="D368" s="48" t="n">
        <x:v>348.12</x:v>
      </x:c>
      <x:c r="E368" s="48" t="n">
        <x:v>424.74</x:v>
      </x:c>
      <x:c r="F368" s="48" t="n">
        <x:v>143.19</x:v>
      </x:c>
      <x:c r="G368" s="48" t="n">
        <x:v>235.14</x:v>
      </x:c>
      <x:c r="H368" s="49" t="n">
        <x:v>603743.45</x:v>
      </x:c>
      <x:c r="I368" s="49" t="n">
        <x:v>658604.19</x:v>
      </x:c>
      <x:c r="J368" s="48" t="n">
        <x:f>IF(COUNT(B368:C368)&lt;2,"",B368-C368)</x:f>
        <x:v>-81.67999999999995</x:v>
      </x:c>
      <x:c r="K368" s="48" t="n">
        <x:f>IF(COUNT(D368,F368)&lt;2,"",D368-F368)</x:f>
        <x:v>204.93</x:v>
      </x:c>
      <x:c r="L368" s="48" t="n">
        <x:f>IF(COUNT(E368,G368)&lt;2,"",E368-G368)</x:f>
        <x:v>189.60000000000002</x:v>
      </x:c>
      <x:c r="M368" s="31" t="str">
        <x:v>网站结构化接口</x:v>
      </x:c>
      <x:c r="N368" s="36" t="d">
        <x:v>2026-10-28T14:16:22.777Z</x:v>
      </x:c>
    </x:row>
    <x:row r="369">
      <x:c r="A369" s="36" t="d">
        <x:v>2026-01-03T00:00:00.000Z</x:v>
      </x:c>
      <x:c r="B369" s="48" t="n">
        <x:v>374.08</x:v>
      </x:c>
      <x:c r="C369" s="48" t="n">
        <x:v>467.33</x:v>
      </x:c>
      <x:c r="D369" s="48" t="n">
        <x:v>377.79</x:v>
      </x:c>
      <x:c r="E369" s="48" t="n">
        <x:v>466.91</x:v>
      </x:c>
      <x:c r="F369" s="48" t="n">
        <x:v>332.07</x:v>
      </x:c>
      <x:c r="G369" s="48" t="n">
        <x:v>472.35</x:v>
      </x:c>
      <x:c r="H369" s="49" t="n">
        <x:v>668595.05</x:v>
      </x:c>
      <x:c r="I369" s="49" t="n">
        <x:v>683748.16</x:v>
      </x:c>
      <x:c r="J369" s="48" t="n">
        <x:f>IF(COUNT(B369:C369)&lt;2,"",B369-C369)</x:f>
        <x:v>-93.25</x:v>
      </x:c>
      <x:c r="K369" s="48" t="n">
        <x:f>IF(COUNT(D369,F369)&lt;2,"",D369-F369)</x:f>
        <x:v>45.72000000000003</x:v>
      </x:c>
      <x:c r="L369" s="48" t="n">
        <x:f>IF(COUNT(E369,G369)&lt;2,"",E369-G369)</x:f>
        <x:v>-5.439999999999998</x:v>
      </x:c>
      <x:c r="M369" s="31" t="str">
        <x:v>网站结构化接口</x:v>
      </x:c>
      <x:c r="N369" s="36" t="d">
        <x:v>2026-10-28T14:16:22.777Z</x:v>
      </x:c>
    </x:row>
    <x:row r="370">
      <x:c r="A370" s="36" t="d">
        <x:v>2026-01-04T00:00:00.000Z</x:v>
      </x:c>
      <x:c r="B370" s="48" t="n">
        <x:v>349.78</x:v>
      </x:c>
      <x:c r="C370" s="48" t="n">
        <x:v>374</x:v>
      </x:c>
      <x:c r="D370" s="48" t="n">
        <x:v>372.82</x:v>
      </x:c>
      <x:c r="E370" s="48" t="n">
        <x:v>393.94</x:v>
      </x:c>
      <x:c r="F370" s="48" t="n">
        <x:v>260.08</x:v>
      </x:c>
      <x:c r="G370" s="48" t="n">
        <x:v>287.35</x:v>
      </x:c>
      <x:c r="H370" s="49" t="n">
        <x:v>650274.14</x:v>
      </x:c>
      <x:c r="I370" s="49" t="n">
        <x:v>652402.89</x:v>
      </x:c>
      <x:c r="J370" s="48" t="n">
        <x:f>IF(COUNT(B370:C370)&lt;2,"",B370-C370)</x:f>
        <x:v>-24.220000000000027</x:v>
      </x:c>
      <x:c r="K370" s="48" t="n">
        <x:f>IF(COUNT(D370,F370)&lt;2,"",D370-F370)</x:f>
        <x:v>112.74000000000001</x:v>
      </x:c>
      <x:c r="L370" s="48" t="n">
        <x:f>IF(COUNT(E370,G370)&lt;2,"",E370-G370)</x:f>
        <x:v>106.58999999999997</x:v>
      </x:c>
      <x:c r="M370" s="31" t="str">
        <x:v>网站结构化接口</x:v>
      </x:c>
      <x:c r="N370" s="36" t="d">
        <x:v>2026-10-28T14:16:22.777Z</x:v>
      </x:c>
    </x:row>
    <x:row r="371">
      <x:c r="A371" s="36" t="d">
        <x:v>2026-01-05T00:00:00.000Z</x:v>
      </x:c>
      <x:c r="B371" s="48" t="n">
        <x:v>358.07</x:v>
      </x:c>
      <x:c r="C371" s="48" t="n">
        <x:v>376.73</x:v>
      </x:c>
      <x:c r="D371" s="48" t="n">
        <x:v>378.11</x:v>
      </x:c>
      <x:c r="E371" s="48" t="n">
        <x:v>393.35</x:v>
      </x:c>
      <x:c r="F371" s="48" t="n">
        <x:v>283.84</x:v>
      </x:c>
      <x:c r="G371" s="48" t="n">
        <x:v>314.49</x:v>
      </x:c>
      <x:c r="H371" s="49" t="n">
        <x:v>636298.79</x:v>
      </x:c>
      <x:c r="I371" s="49" t="n">
        <x:v>646974.26</x:v>
      </x:c>
      <x:c r="J371" s="48" t="n">
        <x:f>IF(COUNT(B371:C371)&lt;2,"",B371-C371)</x:f>
        <x:v>-18.660000000000025</x:v>
      </x:c>
      <x:c r="K371" s="48" t="n">
        <x:f>IF(COUNT(D371,F371)&lt;2,"",D371-F371)</x:f>
        <x:v>94.27000000000004</x:v>
      </x:c>
      <x:c r="L371" s="48" t="n">
        <x:f>IF(COUNT(E371,G371)&lt;2,"",E371-G371)</x:f>
        <x:v>78.86000000000001</x:v>
      </x:c>
      <x:c r="M371" s="31" t="str">
        <x:v>网站结构化接口</x:v>
      </x:c>
      <x:c r="N371" s="36" t="d">
        <x:v>2026-10-28T14:16:22.777Z</x:v>
      </x:c>
    </x:row>
    <x:row r="372">
      <x:c r="A372" s="36" t="d">
        <x:v>2026-01-06T00:00:00.000Z</x:v>
      </x:c>
      <x:c r="B372" s="48" t="n">
        <x:v>356.16</x:v>
      </x:c>
      <x:c r="C372" s="48" t="n">
        <x:v>325.87</x:v>
      </x:c>
      <x:c r="D372" s="48" t="n">
        <x:v>383.34</x:v>
      </x:c>
      <x:c r="E372" s="48" t="n">
        <x:v>354.87</x:v>
      </x:c>
      <x:c r="F372" s="48" t="n">
        <x:v>280.55</x:v>
      </x:c>
      <x:c r="G372" s="48" t="n">
        <x:v>244.62</x:v>
      </x:c>
      <x:c r="H372" s="49" t="n">
        <x:v>615100.99</x:v>
      </x:c>
      <x:c r="I372" s="49" t="n">
        <x:v>601519.06</x:v>
      </x:c>
      <x:c r="J372" s="48" t="n">
        <x:f>IF(COUNT(B372:C372)&lt;2,"",B372-C372)</x:f>
        <x:v>30.29000000000002</x:v>
      </x:c>
      <x:c r="K372" s="48" t="n">
        <x:f>IF(COUNT(D372,F372)&lt;2,"",D372-F372)</x:f>
        <x:v>102.78999999999996</x:v>
      </x:c>
      <x:c r="L372" s="48" t="n">
        <x:f>IF(COUNT(E372,G372)&lt;2,"",E372-G372)</x:f>
        <x:v>110.25</x:v>
      </x:c>
      <x:c r="M372" s="31" t="str">
        <x:v>网站结构化接口</x:v>
      </x:c>
      <x:c r="N372" s="36" t="d">
        <x:v>2026-10-28T14:16:22.777Z</x:v>
      </x:c>
    </x:row>
    <x:row r="373">
      <x:c r="A373" s="36" t="d">
        <x:v>2026-01-07T00:00:00.000Z</x:v>
      </x:c>
      <x:c r="B373" s="48" t="n">
        <x:v>373.11</x:v>
      </x:c>
      <x:c r="C373" s="48" t="n">
        <x:v>347.6</x:v>
      </x:c>
      <x:c r="D373" s="48" t="n">
        <x:v>393.82</x:v>
      </x:c>
      <x:c r="E373" s="48" t="n">
        <x:v>371.29</x:v>
      </x:c>
      <x:c r="F373" s="48" t="n">
        <x:v>306.85</x:v>
      </x:c>
      <x:c r="G373" s="48" t="n">
        <x:v>270.33</x:v>
      </x:c>
      <x:c r="H373" s="49" t="n">
        <x:v>612829.26</x:v>
      </x:c>
      <x:c r="I373" s="49" t="n">
        <x:v>597240.1</x:v>
      </x:c>
      <x:c r="J373" s="48" t="n">
        <x:f>IF(COUNT(B373:C373)&lt;2,"",B373-C373)</x:f>
        <x:v>25.50999999999999</x:v>
      </x:c>
      <x:c r="K373" s="48" t="n">
        <x:f>IF(COUNT(D373,F373)&lt;2,"",D373-F373)</x:f>
        <x:v>86.96999999999997</x:v>
      </x:c>
      <x:c r="L373" s="48" t="n">
        <x:f>IF(COUNT(E373,G373)&lt;2,"",E373-G373)</x:f>
        <x:v>100.96000000000004</x:v>
      </x:c>
      <x:c r="M373" s="31" t="str">
        <x:v>网站结构化接口</x:v>
      </x:c>
      <x:c r="N373" s="36" t="d">
        <x:v>2026-10-28T14:16:22.777Z</x:v>
      </x:c>
    </x:row>
    <x:row r="374">
      <x:c r="A374" s="36" t="d">
        <x:v>2026-01-08T00:00:00.000Z</x:v>
      </x:c>
      <x:c r="B374" s="48" t="n">
        <x:v>320.93</x:v>
      </x:c>
      <x:c r="C374" s="48" t="n">
        <x:v>298.27</x:v>
      </x:c>
      <x:c r="D374" s="48" t="n">
        <x:v>347.14</x:v>
      </x:c>
      <x:c r="E374" s="48" t="n">
        <x:v>325.08</x:v>
      </x:c>
      <x:c r="F374" s="48" t="n">
        <x:v>223.68</x:v>
      </x:c>
      <x:c r="G374" s="48" t="n">
        <x:v>195.53</x:v>
      </x:c>
      <x:c r="H374" s="49" t="n">
        <x:v>644945.74</x:v>
      </x:c>
      <x:c r="I374" s="49" t="n">
        <x:v>626112.96</x:v>
      </x:c>
      <x:c r="J374" s="48" t="n">
        <x:f>IF(COUNT(B374:C374)&lt;2,"",B374-C374)</x:f>
        <x:v>22.660000000000025</x:v>
      </x:c>
      <x:c r="K374" s="48" t="n">
        <x:f>IF(COUNT(D374,F374)&lt;2,"",D374-F374)</x:f>
        <x:v>123.45999999999998</x:v>
      </x:c>
      <x:c r="L374" s="48" t="n">
        <x:f>IF(COUNT(E374,G374)&lt;2,"",E374-G374)</x:f>
        <x:v>129.54999999999998</x:v>
      </x:c>
      <x:c r="M374" s="31" t="str">
        <x:v>网站结构化接口</x:v>
      </x:c>
      <x:c r="N374" s="36" t="d">
        <x:v>2026-10-28T14:16:22.777Z</x:v>
      </x:c>
    </x:row>
    <x:row r="375">
      <x:c r="A375" s="36" t="d">
        <x:v>2026-01-09T00:00:00.000Z</x:v>
      </x:c>
      <x:c r="B375" s="48" t="n">
        <x:v>234.64</x:v>
      </x:c>
      <x:c r="C375" s="48" t="n">
        <x:v>174.57</x:v>
      </x:c>
      <x:c r="D375" s="48" t="n">
        <x:v>255.06</x:v>
      </x:c>
      <x:c r="E375" s="48" t="n">
        <x:v>191.67</x:v>
      </x:c>
      <x:c r="F375" s="48" t="n">
        <x:v>182.13</x:v>
      </x:c>
      <x:c r="G375" s="48" t="n">
        <x:v>132.25</x:v>
      </x:c>
      <x:c r="H375" s="49" t="n">
        <x:v>604544.63</x:v>
      </x:c>
      <x:c r="I375" s="49" t="n">
        <x:v>554772.1</x:v>
      </x:c>
      <x:c r="J375" s="48" t="n">
        <x:f>IF(COUNT(B375:C375)&lt;2,"",B375-C375)</x:f>
        <x:v>60.06999999999999</x:v>
      </x:c>
      <x:c r="K375" s="48" t="n">
        <x:f>IF(COUNT(D375,F375)&lt;2,"",D375-F375)</x:f>
        <x:v>72.93</x:v>
      </x:c>
      <x:c r="L375" s="48" t="n">
        <x:f>IF(COUNT(E375,G375)&lt;2,"",E375-G375)</x:f>
        <x:v>59.41999999999999</x:v>
      </x:c>
      <x:c r="M375" s="31" t="str">
        <x:v>网站结构化接口</x:v>
      </x:c>
      <x:c r="N375" s="36" t="d">
        <x:v>2026-10-28T14:16:22.777Z</x:v>
      </x:c>
    </x:row>
    <x:row r="376">
      <x:c r="A376" s="36" t="d">
        <x:v>2026-01-10T00:00:00.000Z</x:v>
      </x:c>
      <x:c r="B376" s="48" t="n">
        <x:v>200.19</x:v>
      </x:c>
      <x:c r="C376" s="48" t="n">
        <x:v>180.89</x:v>
      </x:c>
      <x:c r="D376" s="48" t="n">
        <x:v>232.84</x:v>
      </x:c>
      <x:c r="E376" s="48" t="n">
        <x:v>207.09</x:v>
      </x:c>
      <x:c r="F376" s="48" t="n">
        <x:v>102.54</x:v>
      </x:c>
      <x:c r="G376" s="48" t="n">
        <x:v>99.2</x:v>
      </x:c>
      <x:c r="H376" s="49" t="n">
        <x:v>589547.93</x:v>
      </x:c>
      <x:c r="I376" s="49" t="n">
        <x:v>566820.15</x:v>
      </x:c>
      <x:c r="J376" s="48" t="n">
        <x:f>IF(COUNT(B376:C376)&lt;2,"",B376-C376)</x:f>
        <x:v>19.30000000000001</x:v>
      </x:c>
      <x:c r="K376" s="48" t="n">
        <x:f>IF(COUNT(D376,F376)&lt;2,"",D376-F376)</x:f>
        <x:v>130.3</x:v>
      </x:c>
      <x:c r="L376" s="48" t="n">
        <x:f>IF(COUNT(E376,G376)&lt;2,"",E376-G376)</x:f>
        <x:v>107.89</x:v>
      </x:c>
      <x:c r="M376" s="31" t="str">
        <x:v>网站结构化接口</x:v>
      </x:c>
      <x:c r="N376" s="36" t="d">
        <x:v>2026-10-28T14:16:22.777Z</x:v>
      </x:c>
    </x:row>
    <x:row r="377">
      <x:c r="A377" s="36" t="d">
        <x:v>2026-01-11T00:00:00.000Z</x:v>
      </x:c>
      <x:c r="B377" s="48" t="n">
        <x:v>233.98</x:v>
      </x:c>
      <x:c r="C377" s="48" t="n">
        <x:v>230.49</x:v>
      </x:c>
      <x:c r="D377" s="48" t="n">
        <x:v>262.59</x:v>
      </x:c>
      <x:c r="E377" s="48" t="n">
        <x:v>263.37</x:v>
      </x:c>
      <x:c r="F377" s="48" t="n">
        <x:v>138.83</x:v>
      </x:c>
      <x:c r="G377" s="48" t="n">
        <x:v>121.85</x:v>
      </x:c>
      <x:c r="H377" s="49" t="n">
        <x:v>597324.37</x:v>
      </x:c>
      <x:c r="I377" s="49" t="n">
        <x:v>581612.73</x:v>
      </x:c>
      <x:c r="J377" s="48" t="n">
        <x:f>IF(COUNT(B377:C377)&lt;2,"",B377-C377)</x:f>
        <x:v>3.4899999999999807</x:v>
      </x:c>
      <x:c r="K377" s="48" t="n">
        <x:f>IF(COUNT(D377,F377)&lt;2,"",D377-F377)</x:f>
        <x:v>123.75999999999996</x:v>
      </x:c>
      <x:c r="L377" s="48" t="n">
        <x:f>IF(COUNT(E377,G377)&lt;2,"",E377-G377)</x:f>
        <x:v>141.52</x:v>
      </x:c>
      <x:c r="M377" s="31" t="str">
        <x:v>网站结构化接口</x:v>
      </x:c>
      <x:c r="N377" s="36" t="d">
        <x:v>2026-10-28T14:16:22.777Z</x:v>
      </x:c>
    </x:row>
    <x:row r="378">
      <x:c r="A378" s="36" t="d">
        <x:v>2026-01-12T00:00:00.000Z</x:v>
      </x:c>
      <x:c r="B378" s="48" t="n">
        <x:v>238.35</x:v>
      </x:c>
      <x:c r="C378" s="48" t="n">
        <x:v>153.03</x:v>
      </x:c>
      <x:c r="D378" s="48" t="n">
        <x:v>265.85</x:v>
      </x:c>
      <x:c r="E378" s="48" t="n">
        <x:v>173.52</x:v>
      </x:c>
      <x:c r="F378" s="48" t="n">
        <x:v>163.04</x:v>
      </x:c>
      <x:c r="G378" s="48" t="n">
        <x:v>99.09</x:v>
      </x:c>
      <x:c r="H378" s="49" t="n">
        <x:v>595063.55</x:v>
      </x:c>
      <x:c r="I378" s="49" t="n">
        <x:v>558961.57</x:v>
      </x:c>
      <x:c r="J378" s="48" t="n">
        <x:f>IF(COUNT(B378:C378)&lt;2,"",B378-C378)</x:f>
        <x:v>85.32</x:v>
      </x:c>
      <x:c r="K378" s="48" t="n">
        <x:f>IF(COUNT(D378,F378)&lt;2,"",D378-F378)</x:f>
        <x:v>102.81000000000003</x:v>
      </x:c>
      <x:c r="L378" s="48" t="n">
        <x:f>IF(COUNT(E378,G378)&lt;2,"",E378-G378)</x:f>
        <x:v>74.43</x:v>
      </x:c>
      <x:c r="M378" s="31" t="str">
        <x:v>网站结构化接口</x:v>
      </x:c>
      <x:c r="N378" s="36" t="d">
        <x:v>2026-10-28T14:16:22.777Z</x:v>
      </x:c>
    </x:row>
    <x:row r="379">
      <x:c r="A379" s="36" t="d">
        <x:v>2026-01-13T00:00:00.000Z</x:v>
      </x:c>
      <x:c r="B379" s="48" t="n">
        <x:v>323.16</x:v>
      </x:c>
      <x:c r="C379" s="48" t="n">
        <x:v>248.93</x:v>
      </x:c>
      <x:c r="D379" s="48" t="n">
        <x:v>360.21</x:v>
      </x:c>
      <x:c r="E379" s="48" t="n">
        <x:v>275.06</x:v>
      </x:c>
      <x:c r="F379" s="48" t="n">
        <x:v>191.9</x:v>
      </x:c>
      <x:c r="G379" s="48" t="n">
        <x:v>159.65</x:v>
      </x:c>
      <x:c r="H379" s="49" t="n">
        <x:v>601805.74</x:v>
      </x:c>
      <x:c r="I379" s="49" t="n">
        <x:v>573487.11</x:v>
      </x:c>
      <x:c r="J379" s="48" t="n">
        <x:f>IF(COUNT(B379:C379)&lt;2,"",B379-C379)</x:f>
        <x:v>74.23000000000002</x:v>
      </x:c>
      <x:c r="K379" s="48" t="n">
        <x:f>IF(COUNT(D379,F379)&lt;2,"",D379-F379)</x:f>
        <x:v>168.30999999999997</x:v>
      </x:c>
      <x:c r="L379" s="48" t="n">
        <x:f>IF(COUNT(E379,G379)&lt;2,"",E379-G379)</x:f>
        <x:v>115.41</x:v>
      </x:c>
      <x:c r="M379" s="31" t="str">
        <x:v>网站结构化接口</x:v>
      </x:c>
      <x:c r="N379" s="36" t="d">
        <x:v>2026-10-28T14:16:22.777Z</x:v>
      </x:c>
    </x:row>
    <x:row r="380">
      <x:c r="A380" s="36" t="d">
        <x:v>2026-01-14T00:00:00.000Z</x:v>
      </x:c>
      <x:c r="B380" s="48" t="n">
        <x:v>307.88</x:v>
      </x:c>
      <x:c r="C380" s="48" t="n">
        <x:v>270.85</x:v>
      </x:c>
      <x:c r="D380" s="48" t="n">
        <x:v>334.69</x:v>
      </x:c>
      <x:c r="E380" s="48" t="n">
        <x:v>290.04</x:v>
      </x:c>
      <x:c r="F380" s="48" t="n">
        <x:v>237</x:v>
      </x:c>
      <x:c r="G380" s="48" t="n">
        <x:v>218.07</x:v>
      </x:c>
      <x:c r="H380" s="49" t="n">
        <x:v>584637.74</x:v>
      </x:c>
      <x:c r="I380" s="49" t="n">
        <x:v>564805.72</x:v>
      </x:c>
      <x:c r="J380" s="48" t="n">
        <x:f>IF(COUNT(B380:C380)&lt;2,"",B380-C380)</x:f>
        <x:v>37.02999999999997</x:v>
      </x:c>
      <x:c r="K380" s="48" t="n">
        <x:f>IF(COUNT(D380,F380)&lt;2,"",D380-F380)</x:f>
        <x:v>97.69</x:v>
      </x:c>
      <x:c r="L380" s="48" t="n">
        <x:f>IF(COUNT(E380,G380)&lt;2,"",E380-G380)</x:f>
        <x:v>71.97000000000003</x:v>
      </x:c>
      <x:c r="M380" s="31" t="str">
        <x:v>网站结构化接口</x:v>
      </x:c>
      <x:c r="N380" s="36" t="d">
        <x:v>2026-10-28T14:16:22.777Z</x:v>
      </x:c>
    </x:row>
    <x:row r="381">
      <x:c r="A381" s="36" t="d">
        <x:v>2026-01-15T00:00:00.000Z</x:v>
      </x:c>
      <x:c r="B381" s="48" t="n">
        <x:v>286.03</x:v>
      </x:c>
      <x:c r="C381" s="48" t="n">
        <x:v>224.8</x:v>
      </x:c>
      <x:c r="D381" s="48" t="n">
        <x:v>316.92</x:v>
      </x:c>
      <x:c r="E381" s="48" t="n">
        <x:v>251.03</x:v>
      </x:c>
      <x:c r="F381" s="48" t="n">
        <x:v>191.31</x:v>
      </x:c>
      <x:c r="G381" s="48" t="n">
        <x:v>148.46</x:v>
      </x:c>
      <x:c r="H381" s="49" t="n">
        <x:v>589563.56</x:v>
      </x:c>
      <x:c r="I381" s="49" t="n">
        <x:v>559859.17</x:v>
      </x:c>
      <x:c r="J381" s="48" t="n">
        <x:f>IF(COUNT(B381:C381)&lt;2,"",B381-C381)</x:f>
        <x:v>61.22999999999996</x:v>
      </x:c>
      <x:c r="K381" s="48" t="n">
        <x:f>IF(COUNT(D381,F381)&lt;2,"",D381-F381)</x:f>
        <x:v>125.61000000000001</x:v>
      </x:c>
      <x:c r="L381" s="48" t="n">
        <x:f>IF(COUNT(E381,G381)&lt;2,"",E381-G381)</x:f>
        <x:v>102.57</x:v>
      </x:c>
      <x:c r="M381" s="31" t="str">
        <x:v>网站结构化接口</x:v>
      </x:c>
      <x:c r="N381" s="36" t="d">
        <x:v>2026-10-28T14:16:22.777Z</x:v>
      </x:c>
    </x:row>
    <x:row r="382">
      <x:c r="A382" s="36" t="d">
        <x:v>2026-01-16T00:00:00.000Z</x:v>
      </x:c>
      <x:c r="B382" s="48" t="n">
        <x:v>275.7</x:v>
      </x:c>
      <x:c r="C382" s="48" t="n">
        <x:v>233.61</x:v>
      </x:c>
      <x:c r="D382" s="48" t="n">
        <x:v>301.71</x:v>
      </x:c>
      <x:c r="E382" s="48" t="n">
        <x:v>260.24</x:v>
      </x:c>
      <x:c r="F382" s="48" t="n">
        <x:v>179.1</x:v>
      </x:c>
      <x:c r="G382" s="48" t="n">
        <x:v>137.86</x:v>
      </x:c>
      <x:c r="H382" s="49" t="n">
        <x:v>589704.8</x:v>
      </x:c>
      <x:c r="I382" s="49" t="n">
        <x:v>578791.03</x:v>
      </x:c>
      <x:c r="J382" s="48" t="n">
        <x:f>IF(COUNT(B382:C382)&lt;2,"",B382-C382)</x:f>
        <x:v>42.089999999999975</x:v>
      </x:c>
      <x:c r="K382" s="48" t="n">
        <x:f>IF(COUNT(D382,F382)&lt;2,"",D382-F382)</x:f>
        <x:v>122.60999999999999</x:v>
      </x:c>
      <x:c r="L382" s="48" t="n">
        <x:f>IF(COUNT(E382,G382)&lt;2,"",E382-G382)</x:f>
        <x:v>122.38</x:v>
      </x:c>
      <x:c r="M382" s="31" t="str">
        <x:v>网站结构化接口</x:v>
      </x:c>
      <x:c r="N382" s="36" t="d">
        <x:v>2026-10-28T14:16:22.777Z</x:v>
      </x:c>
    </x:row>
    <x:row r="383">
      <x:c r="A383" s="36" t="d">
        <x:v>2026-01-17T00:00:00.000Z</x:v>
      </x:c>
      <x:c r="B383" s="48" t="n">
        <x:v>50.09</x:v>
      </x:c>
      <x:c r="C383" s="48" t="n">
        <x:v>60.4</x:v>
      </x:c>
      <x:c r="D383" s="48" t="n">
        <x:v>59.59</x:v>
      </x:c>
      <x:c r="E383" s="48" t="n">
        <x:v>68.16</x:v>
      </x:c>
      <x:c r="F383" s="48" t="n">
        <x:v>30.44</x:v>
      </x:c>
      <x:c r="G383" s="48" t="n">
        <x:v>43.1</x:v>
      </x:c>
      <x:c r="H383" s="49" t="n">
        <x:v>533563.74</x:v>
      </x:c>
      <x:c r="I383" s="49" t="n">
        <x:v>507615.16</x:v>
      </x:c>
      <x:c r="J383" s="48" t="n">
        <x:f>IF(COUNT(B383:C383)&lt;2,"",B383-C383)</x:f>
        <x:v>-10.309999999999995</x:v>
      </x:c>
      <x:c r="K383" s="48" t="n">
        <x:f>IF(COUNT(D383,F383)&lt;2,"",D383-F383)</x:f>
        <x:v>29.150000000000002</x:v>
      </x:c>
      <x:c r="L383" s="48" t="n">
        <x:f>IF(COUNT(E383,G383)&lt;2,"",E383-G383)</x:f>
        <x:v>25.059999999999995</x:v>
      </x:c>
      <x:c r="M383" s="31" t="str">
        <x:v>网站结构化接口</x:v>
      </x:c>
      <x:c r="N383" s="36" t="d">
        <x:v>2026-10-28T14:16:22.777Z</x:v>
      </x:c>
    </x:row>
    <x:row r="384">
      <x:c r="A384" s="36" t="d">
        <x:v>2026-01-18T00:00:00.000Z</x:v>
      </x:c>
      <x:c r="B384" s="48" t="n">
        <x:v>195.1</x:v>
      </x:c>
      <x:c r="C384" s="48" t="n">
        <x:v>243.02</x:v>
      </x:c>
      <x:c r="D384" s="48" t="n">
        <x:v>211.4</x:v>
      </x:c>
      <x:c r="E384" s="48" t="n">
        <x:v>246.66</x:v>
      </x:c>
      <x:c r="F384" s="48" t="n">
        <x:v>135.37</x:v>
      </x:c>
      <x:c r="G384" s="48" t="n">
        <x:v>228.26</x:v>
      </x:c>
      <x:c r="H384" s="49" t="n">
        <x:v>587084.24</x:v>
      </x:c>
      <x:c r="I384" s="49" t="n">
        <x:v>604107.26</x:v>
      </x:c>
      <x:c r="J384" s="48" t="n">
        <x:f>IF(COUNT(B384:C384)&lt;2,"",B384-C384)</x:f>
        <x:v>-47.920000000000016</x:v>
      </x:c>
      <x:c r="K384" s="48" t="n">
        <x:f>IF(COUNT(D384,F384)&lt;2,"",D384-F384)</x:f>
        <x:v>76.03</x:v>
      </x:c>
      <x:c r="L384" s="48" t="n">
        <x:f>IF(COUNT(E384,G384)&lt;2,"",E384-G384)</x:f>
        <x:v>18.400000000000006</x:v>
      </x:c>
      <x:c r="M384" s="31" t="str">
        <x:v>网站结构化接口</x:v>
      </x:c>
      <x:c r="N384" s="36" t="d">
        <x:v>2026-10-28T14:16:22.777Z</x:v>
      </x:c>
    </x:row>
    <x:row r="385">
      <x:c r="A385" s="36" t="d">
        <x:v>2026-01-19T00:00:00.000Z</x:v>
      </x:c>
      <x:c r="B385" s="48" t="n">
        <x:v>356.86</x:v>
      </x:c>
      <x:c r="C385" s="48" t="n">
        <x:v>375.07</x:v>
      </x:c>
      <x:c r="D385" s="48" t="n">
        <x:v>360.74</x:v>
      </x:c>
      <x:c r="E385" s="48" t="n">
        <x:v>380.31</x:v>
      </x:c>
      <x:c r="F385" s="48" t="n">
        <x:v>324.42</x:v>
      </x:c>
      <x:c r="G385" s="48" t="n">
        <x:v>322.58</x:v>
      </x:c>
      <x:c r="H385" s="49" t="n">
        <x:v>671195.56</x:v>
      </x:c>
      <x:c r="I385" s="49" t="n">
        <x:v>673391.3</x:v>
      </x:c>
      <x:c r="J385" s="48" t="n">
        <x:f>IF(COUNT(B385:C385)&lt;2,"",B385-C385)</x:f>
        <x:v>-18.20999999999998</x:v>
      </x:c>
      <x:c r="K385" s="48" t="n">
        <x:f>IF(COUNT(D385,F385)&lt;2,"",D385-F385)</x:f>
        <x:v>36.31999999999999</x:v>
      </x:c>
      <x:c r="L385" s="48" t="n">
        <x:f>IF(COUNT(E385,G385)&lt;2,"",E385-G385)</x:f>
        <x:v>57.73000000000002</x:v>
      </x:c>
      <x:c r="M385" s="31" t="str">
        <x:v>网站结构化接口</x:v>
      </x:c>
      <x:c r="N385" s="36" t="d">
        <x:v>2026-10-28T14:16:22.777Z</x:v>
      </x:c>
    </x:row>
    <x:row r="386">
      <x:c r="A386" s="36" t="d">
        <x:v>2026-01-20T00:00:00.000Z</x:v>
      </x:c>
      <x:c r="B386" s="48" t="n">
        <x:v>384.34</x:v>
      </x:c>
      <x:c r="C386" s="48" t="n">
        <x:v>273.67</x:v>
      </x:c>
      <x:c r="D386" s="48" t="n">
        <x:v>403.74</x:v>
      </x:c>
      <x:c r="E386" s="48" t="n">
        <x:v>281.21</x:v>
      </x:c>
      <x:c r="F386" s="48" t="n">
        <x:v>211.07</x:v>
      </x:c>
      <x:c r="G386" s="48" t="n">
        <x:v>197.93</x:v>
      </x:c>
      <x:c r="H386" s="49" t="n">
        <x:v>689711.88</x:v>
      </x:c>
      <x:c r="I386" s="49" t="n">
        <x:v>629670.95</x:v>
      </x:c>
      <x:c r="J386" s="48" t="n">
        <x:f>IF(COUNT(B386:C386)&lt;2,"",B386-C386)</x:f>
        <x:v>110.66999999999996</x:v>
      </x:c>
      <x:c r="K386" s="48" t="n">
        <x:f>IF(COUNT(D386,F386)&lt;2,"",D386-F386)</x:f>
        <x:v>192.67000000000002</x:v>
      </x:c>
      <x:c r="L386" s="48" t="n">
        <x:f>IF(COUNT(E386,G386)&lt;2,"",E386-G386)</x:f>
        <x:v>83.27999999999997</x:v>
      </x:c>
      <x:c r="M386" s="31" t="str">
        <x:v>网站结构化接口</x:v>
      </x:c>
      <x:c r="N386" s="36" t="d">
        <x:v>2026-10-28T14:16:22.777Z</x:v>
      </x:c>
    </x:row>
    <x:row r="387">
      <x:c r="A387" s="36" t="d">
        <x:v>2026-01-21T00:00:00.000Z</x:v>
      </x:c>
      <x:c r="B387" s="48" t="n">
        <x:v>328.1</x:v>
      </x:c>
      <x:c r="C387" s="48" t="n">
        <x:v>297.13</x:v>
      </x:c>
      <x:c r="D387" s="48" t="n">
        <x:v>344.49</x:v>
      </x:c>
      <x:c r="E387" s="48" t="n">
        <x:v>313.37</x:v>
      </x:c>
      <x:c r="F387" s="48" t="n">
        <x:v>195.75</x:v>
      </x:c>
      <x:c r="G387" s="48" t="n">
        <x:v>149.32</x:v>
      </x:c>
      <x:c r="H387" s="49" t="n">
        <x:v>667853.99</x:v>
      </x:c>
      <x:c r="I387" s="49" t="n">
        <x:v>617920.34</x:v>
      </x:c>
      <x:c r="J387" s="48" t="n">
        <x:f>IF(COUNT(B387:C387)&lt;2,"",B387-C387)</x:f>
        <x:v>30.970000000000027</x:v>
      </x:c>
      <x:c r="K387" s="48" t="n">
        <x:f>IF(COUNT(D387,F387)&lt;2,"",D387-F387)</x:f>
        <x:v>148.74</x:v>
      </x:c>
      <x:c r="L387" s="48" t="n">
        <x:f>IF(COUNT(E387,G387)&lt;2,"",E387-G387)</x:f>
        <x:v>164.05</x:v>
      </x:c>
      <x:c r="M387" s="31" t="str">
        <x:v>网站结构化接口</x:v>
      </x:c>
      <x:c r="N387" s="36" t="d">
        <x:v>2026-10-28T14:16:22.777Z</x:v>
      </x:c>
    </x:row>
    <x:row r="388">
      <x:c r="A388" s="36" t="d">
        <x:v>2026-01-22T00:00:00.000Z</x:v>
      </x:c>
      <x:c r="B388" s="48" t="n">
        <x:v>329.5</x:v>
      </x:c>
      <x:c r="C388" s="48" t="n">
        <x:v>312.6</x:v>
      </x:c>
      <x:c r="D388" s="48" t="n">
        <x:v>350.56</x:v>
      </x:c>
      <x:c r="E388" s="48" t="n">
        <x:v>334.25</x:v>
      </x:c>
      <x:c r="F388" s="48" t="n">
        <x:v>203.12</x:v>
      </x:c>
      <x:c r="G388" s="48" t="n">
        <x:v>182.83</x:v>
      </x:c>
      <x:c r="H388" s="49" t="n">
        <x:v>652984.07</x:v>
      </x:c>
      <x:c r="I388" s="49" t="n">
        <x:v>646311.27</x:v>
      </x:c>
      <x:c r="J388" s="48" t="n">
        <x:f>IF(COUNT(B388:C388)&lt;2,"",B388-C388)</x:f>
        <x:v>16.899999999999977</x:v>
      </x:c>
      <x:c r="K388" s="48" t="n">
        <x:f>IF(COUNT(D388,F388)&lt;2,"",D388-F388)</x:f>
        <x:v>147.44</x:v>
      </x:c>
      <x:c r="L388" s="48" t="n">
        <x:f>IF(COUNT(E388,G388)&lt;2,"",E388-G388)</x:f>
        <x:v>151.42</x:v>
      </x:c>
      <x:c r="M388" s="31" t="str">
        <x:v>网站结构化接口</x:v>
      </x:c>
      <x:c r="N388" s="36" t="d">
        <x:v>2026-10-28T14:16:22.777Z</x:v>
      </x:c>
    </x:row>
    <x:row r="389">
      <x:c r="A389" s="36" t="d">
        <x:v>2026-01-23T00:00:00.000Z</x:v>
      </x:c>
      <x:c r="B389" s="48" t="n">
        <x:v>306.87</x:v>
      </x:c>
      <x:c r="C389" s="48" t="n">
        <x:v>327.17</x:v>
      </x:c>
      <x:c r="D389" s="48" t="n">
        <x:v>335.05</x:v>
      </x:c>
      <x:c r="E389" s="48" t="n">
        <x:v>349.66</x:v>
      </x:c>
      <x:c r="F389" s="48" t="n">
        <x:v>148.97</x:v>
      </x:c>
      <x:c r="G389" s="48" t="n">
        <x:v>193.24</x:v>
      </x:c>
      <x:c r="H389" s="49" t="n">
        <x:v>656850.01</x:v>
      </x:c>
      <x:c r="I389" s="49" t="n">
        <x:v>678105.51</x:v>
      </x:c>
      <x:c r="J389" s="48" t="n">
        <x:f>IF(COUNT(B389:C389)&lt;2,"",B389-C389)</x:f>
        <x:v>-20.30000000000001</x:v>
      </x:c>
      <x:c r="K389" s="48" t="n">
        <x:f>IF(COUNT(D389,F389)&lt;2,"",D389-F389)</x:f>
        <x:v>186.08</x:v>
      </x:c>
      <x:c r="L389" s="48" t="n">
        <x:f>IF(COUNT(E389,G389)&lt;2,"",E389-G389)</x:f>
        <x:v>156.42000000000002</x:v>
      </x:c>
      <x:c r="M389" s="31" t="str">
        <x:v>网站结构化接口</x:v>
      </x:c>
      <x:c r="N389" s="36" t="d">
        <x:v>2026-10-28T14:16:22.777Z</x:v>
      </x:c>
    </x:row>
    <x:row r="390">
      <x:c r="A390" s="36" t="d">
        <x:v>2026-01-24T00:00:00.000Z</x:v>
      </x:c>
      <x:c r="B390" s="48" t="n">
        <x:v>98.71</x:v>
      </x:c>
      <x:c r="C390" s="48" t="n">
        <x:v>53.94</x:v>
      </x:c>
      <x:c r="D390" s="48" t="n">
        <x:v>118.24</x:v>
      </x:c>
      <x:c r="E390" s="48" t="n">
        <x:v>59.27</x:v>
      </x:c>
      <x:c r="F390" s="48" t="n">
        <x:v>46.27</x:v>
      </x:c>
      <x:c r="G390" s="48" t="n">
        <x:v>40.17</x:v>
      </x:c>
      <x:c r="H390" s="49" t="n">
        <x:v>595993.79</x:v>
      </x:c>
      <x:c r="I390" s="49" t="n">
        <x:v>572280.58</x:v>
      </x:c>
      <x:c r="J390" s="48" t="n">
        <x:f>IF(COUNT(B390:C390)&lt;2,"",B390-C390)</x:f>
        <x:v>44.769999999999996</x:v>
      </x:c>
      <x:c r="K390" s="48" t="n">
        <x:f>IF(COUNT(D390,F390)&lt;2,"",D390-F390)</x:f>
        <x:v>71.97</x:v>
      </x:c>
      <x:c r="L390" s="48" t="n">
        <x:f>IF(COUNT(E390,G390)&lt;2,"",E390-G390)</x:f>
        <x:v>19.1</x:v>
      </x:c>
      <x:c r="M390" s="31" t="str">
        <x:v>网站结构化接口</x:v>
      </x:c>
      <x:c r="N390" s="36" t="d">
        <x:v>2026-10-28T14:16:22.777Z</x:v>
      </x:c>
    </x:row>
    <x:row r="391">
      <x:c r="A391" s="36" t="d">
        <x:v>2026-01-25T00:00:00.000Z</x:v>
      </x:c>
      <x:c r="B391" s="48" t="n">
        <x:v>189.65</x:v>
      </x:c>
      <x:c r="C391" s="48" t="n">
        <x:v>227.16</x:v>
      </x:c>
      <x:c r="D391" s="48" t="n">
        <x:v>202.8</x:v>
      </x:c>
      <x:c r="E391" s="48" t="n">
        <x:v>230.34</x:v>
      </x:c>
      <x:c r="F391" s="48" t="n">
        <x:v>129.74</x:v>
      </x:c>
      <x:c r="G391" s="48" t="n">
        <x:v>210.26</x:v>
      </x:c>
      <x:c r="H391" s="49" t="n">
        <x:v>617223.06</x:v>
      </x:c>
      <x:c r="I391" s="49" t="n">
        <x:v>632654.73</x:v>
      </x:c>
      <x:c r="J391" s="48" t="n">
        <x:f>IF(COUNT(B391:C391)&lt;2,"",B391-C391)</x:f>
        <x:v>-37.50999999999999</x:v>
      </x:c>
      <x:c r="K391" s="48" t="n">
        <x:f>IF(COUNT(D391,F391)&lt;2,"",D391-F391)</x:f>
        <x:v>73.06</x:v>
      </x:c>
      <x:c r="L391" s="48" t="n">
        <x:f>IF(COUNT(E391,G391)&lt;2,"",E391-G391)</x:f>
        <x:v>20.080000000000013</x:v>
      </x:c>
      <x:c r="M391" s="31" t="str">
        <x:v>网站结构化接口</x:v>
      </x:c>
      <x:c r="N391" s="36" t="d">
        <x:v>2026-10-28T14:16:22.777Z</x:v>
      </x:c>
    </x:row>
    <x:row r="392">
      <x:c r="A392" s="36" t="d">
        <x:v>2026-01-26T00:00:00.000Z</x:v>
      </x:c>
      <x:c r="B392" s="48" t="n">
        <x:v>260.96</x:v>
      </x:c>
      <x:c r="C392" s="48" t="n">
        <x:v>275.03</x:v>
      </x:c>
      <x:c r="D392" s="48" t="n">
        <x:v>285.39</x:v>
      </x:c>
      <x:c r="E392" s="48" t="n">
        <x:v>295.68</x:v>
      </x:c>
      <x:c r="F392" s="48" t="n">
        <x:v>120.93</x:v>
      </x:c>
      <x:c r="G392" s="48" t="n">
        <x:v>136.35</x:v>
      </x:c>
      <x:c r="H392" s="49" t="n">
        <x:v>654835.42</x:v>
      </x:c>
      <x:c r="I392" s="49" t="n">
        <x:v>656997.27</x:v>
      </x:c>
      <x:c r="J392" s="48" t="n">
        <x:f>IF(COUNT(B392:C392)&lt;2,"",B392-C392)</x:f>
        <x:v>-14.069999999999993</x:v>
      </x:c>
      <x:c r="K392" s="48" t="n">
        <x:f>IF(COUNT(D392,F392)&lt;2,"",D392-F392)</x:f>
        <x:v>164.45999999999998</x:v>
      </x:c>
      <x:c r="L392" s="48" t="n">
        <x:f>IF(COUNT(E392,G392)&lt;2,"",E392-G392)</x:f>
        <x:v>159.33</x:v>
      </x:c>
      <x:c r="M392" s="31" t="str">
        <x:v>网站结构化接口</x:v>
      </x:c>
      <x:c r="N392" s="36" t="d">
        <x:v>2026-10-28T14:16:22.777Z</x:v>
      </x:c>
    </x:row>
    <x:row r="393">
      <x:c r="A393" s="36" t="d">
        <x:v>2026-01-27T00:00:00.000Z</x:v>
      </x:c>
      <x:c r="B393" s="48" t="n">
        <x:v>281.29</x:v>
      </x:c>
      <x:c r="C393" s="48" t="n">
        <x:v>308.24</x:v>
      </x:c>
      <x:c r="D393" s="48" t="n">
        <x:v>306.18</x:v>
      </x:c>
      <x:c r="E393" s="48" t="n">
        <x:v>330.93</x:v>
      </x:c>
      <x:c r="F393" s="48" t="n">
        <x:v>111.95</x:v>
      </x:c>
      <x:c r="G393" s="48" t="n">
        <x:v>137.87</x:v>
      </x:c>
      <x:c r="H393" s="49" t="n">
        <x:v>656435.4</x:v>
      </x:c>
      <x:c r="I393" s="49" t="n">
        <x:v>663976.67</x:v>
      </x:c>
      <x:c r="J393" s="48" t="n">
        <x:f>IF(COUNT(B393:C393)&lt;2,"",B393-C393)</x:f>
        <x:v>-26.94999999999999</x:v>
      </x:c>
      <x:c r="K393" s="48" t="n">
        <x:f>IF(COUNT(D393,F393)&lt;2,"",D393-F393)</x:f>
        <x:v>194.23000000000002</x:v>
      </x:c>
      <x:c r="L393" s="48" t="n">
        <x:f>IF(COUNT(E393,G393)&lt;2,"",E393-G393)</x:f>
        <x:v>193.06</x:v>
      </x:c>
      <x:c r="M393" s="31" t="str">
        <x:v>网站结构化接口</x:v>
      </x:c>
      <x:c r="N393" s="36" t="d">
        <x:v>2026-10-28T14:16:22.777Z</x:v>
      </x:c>
    </x:row>
    <x:row r="394">
      <x:c r="A394" s="36" t="d">
        <x:v>2026-01-28T00:00:00.000Z</x:v>
      </x:c>
      <x:c r="B394" s="48" t="n">
        <x:v>180.11</x:v>
      </x:c>
      <x:c r="C394" s="48" t="n">
        <x:v>228.84</x:v>
      </x:c>
      <x:c r="D394" s="48" t="n">
        <x:v>200.85</x:v>
      </x:c>
      <x:c r="E394" s="48" t="n">
        <x:v>255.16</x:v>
      </x:c>
      <x:c r="F394" s="48" t="n">
        <x:v>71.97</x:v>
      </x:c>
      <x:c r="G394" s="48" t="n">
        <x:v>86.39</x:v>
      </x:c>
      <x:c r="H394" s="49" t="n">
        <x:v>648443.77</x:v>
      </x:c>
      <x:c r="I394" s="49" t="n">
        <x:v>648460.66</x:v>
      </x:c>
      <x:c r="J394" s="48" t="n">
        <x:f>IF(COUNT(B394:C394)&lt;2,"",B394-C394)</x:f>
        <x:v>-48.72999999999999</x:v>
      </x:c>
      <x:c r="K394" s="48" t="n">
        <x:f>IF(COUNT(D394,F394)&lt;2,"",D394-F394)</x:f>
        <x:v>128.88</x:v>
      </x:c>
      <x:c r="L394" s="48" t="n">
        <x:f>IF(COUNT(E394,G394)&lt;2,"",E394-G394)</x:f>
        <x:v>168.76999999999998</x:v>
      </x:c>
      <x:c r="M394" s="31" t="str">
        <x:v>网站结构化接口</x:v>
      </x:c>
      <x:c r="N394" s="36" t="d">
        <x:v>2026-10-28T14:16:22.777Z</x:v>
      </x:c>
    </x:row>
    <x:row r="395">
      <x:c r="A395" s="36" t="d">
        <x:v>2026-01-29T00:00:00.000Z</x:v>
      </x:c>
      <x:c r="B395" s="48" t="n">
        <x:v>251.04</x:v>
      </x:c>
      <x:c r="C395" s="48" t="n">
        <x:v>238.19</x:v>
      </x:c>
      <x:c r="D395" s="48" t="n">
        <x:v>258.01</x:v>
      </x:c>
      <x:c r="E395" s="48" t="n">
        <x:v>246.32</x:v>
      </x:c>
      <x:c r="F395" s="48" t="n">
        <x:v>203.37</x:v>
      </x:c>
      <x:c r="G395" s="48" t="n">
        <x:v>180.25</x:v>
      </x:c>
      <x:c r="H395" s="49" t="n">
        <x:v>646632.94</x:v>
      </x:c>
      <x:c r="I395" s="49" t="n">
        <x:v>640611.09</x:v>
      </x:c>
      <x:c r="J395" s="48" t="n">
        <x:f>IF(COUNT(B395:C395)&lt;2,"",B395-C395)</x:f>
        <x:v>12.849999999999994</x:v>
      </x:c>
      <x:c r="K395" s="48" t="n">
        <x:f>IF(COUNT(D395,F395)&lt;2,"",D395-F395)</x:f>
        <x:v>54.639999999999986</x:v>
      </x:c>
      <x:c r="L395" s="48" t="n">
        <x:f>IF(COUNT(E395,G395)&lt;2,"",E395-G395)</x:f>
        <x:v>66.07</x:v>
      </x:c>
      <x:c r="M395" s="31" t="str">
        <x:v>网站结构化接口</x:v>
      </x:c>
      <x:c r="N395" s="36" t="d">
        <x:v>2026-10-28T14:16:22.777Z</x:v>
      </x:c>
    </x:row>
    <x:row r="396">
      <x:c r="A396" s="36" t="d">
        <x:v>2026-01-30T00:00:00.000Z</x:v>
      </x:c>
      <x:c r="B396" s="48" t="n">
        <x:v>241.12</x:v>
      </x:c>
      <x:c r="C396" s="48" t="n">
        <x:v>220.31</x:v>
      </x:c>
      <x:c r="D396" s="48" t="n">
        <x:v>248.77</x:v>
      </x:c>
      <x:c r="E396" s="48" t="n">
        <x:v>225.54</x:v>
      </x:c>
      <x:c r="F396" s="48" t="n">
        <x:v>175.72</x:v>
      </x:c>
      <x:c r="G396" s="48" t="n">
        <x:v>176.52</x:v>
      </x:c>
      <x:c r="H396" s="49" t="n">
        <x:v>671532.51</x:v>
      </x:c>
      <x:c r="I396" s="49" t="n">
        <x:v>664059.83</x:v>
      </x:c>
      <x:c r="J396" s="48" t="n">
        <x:f>IF(COUNT(B396:C396)&lt;2,"",B396-C396)</x:f>
        <x:v>20.810000000000002</x:v>
      </x:c>
      <x:c r="K396" s="48" t="n">
        <x:f>IF(COUNT(D396,F396)&lt;2,"",D396-F396)</x:f>
        <x:v>73.05000000000001</x:v>
      </x:c>
      <x:c r="L396" s="48" t="n">
        <x:f>IF(COUNT(E396,G396)&lt;2,"",E396-G396)</x:f>
        <x:v>49.01999999999998</x:v>
      </x:c>
      <x:c r="M396" s="31" t="str">
        <x:v>网站结构化接口</x:v>
      </x:c>
      <x:c r="N396" s="36" t="d">
        <x:v>2026-10-28T14:16:22.777Z</x:v>
      </x:c>
    </x:row>
    <x:row r="397">
      <x:c r="A397" s="36" t="d">
        <x:v>2026-01-31T00:00:00.000Z</x:v>
      </x:c>
      <x:c r="B397" s="48" t="n">
        <x:v>221.25</x:v>
      </x:c>
      <x:c r="C397" s="48" t="n">
        <x:v>243.03</x:v>
      </x:c>
      <x:c r="D397" s="48" t="n">
        <x:v>245.68</x:v>
      </x:c>
      <x:c r="E397" s="48" t="n">
        <x:v>261.68</x:v>
      </x:c>
      <x:c r="F397" s="48" t="n">
        <x:v>53.21</x:v>
      </x:c>
      <x:c r="G397" s="48" t="n">
        <x:v>100.86</x:v>
      </x:c>
      <x:c r="H397" s="49" t="n">
        <x:v>638124.53</x:v>
      </x:c>
      <x:c r="I397" s="49" t="n">
        <x:v>663025.14</x:v>
      </x:c>
      <x:c r="J397" s="48" t="n">
        <x:f>IF(COUNT(B397:C397)&lt;2,"",B397-C397)</x:f>
        <x:v>-21.78</x:v>
      </x:c>
      <x:c r="K397" s="48" t="n">
        <x:f>IF(COUNT(D397,F397)&lt;2,"",D397-F397)</x:f>
        <x:v>192.47</x:v>
      </x:c>
      <x:c r="L397" s="48" t="n">
        <x:f>IF(COUNT(E397,G397)&lt;2,"",E397-G397)</x:f>
        <x:v>160.82</x:v>
      </x:c>
      <x:c r="M397" s="31" t="str">
        <x:v>网站结构化接口</x:v>
      </x:c>
      <x:c r="N397" s="36" t="d">
        <x:v>2026-10-28T14:16:22.777Z</x:v>
      </x:c>
    </x:row>
    <x:row r="398">
      <x:c r="A398" s="36" t="d">
        <x:v>2026-02-01T00:00:00.000Z</x:v>
      </x:c>
      <x:c r="B398" s="48" t="n">
        <x:v>248.75</x:v>
      </x:c>
      <x:c r="C398" s="48" t="n">
        <x:v>200.49</x:v>
      </x:c>
      <x:c r="D398" s="48" t="n">
        <x:v>277.88</x:v>
      </x:c>
      <x:c r="E398" s="48" t="n">
        <x:v>221.51</x:v>
      </x:c>
      <x:c r="F398" s="48" t="n">
        <x:v>105.3</x:v>
      </x:c>
      <x:c r="G398" s="48" t="n">
        <x:v>100.85</x:v>
      </x:c>
      <x:c r="H398" s="49" t="n">
        <x:v>582283.44</x:v>
      </x:c>
      <x:c r="I398" s="49" t="n">
        <x:v>561240.2</x:v>
      </x:c>
      <x:c r="J398" s="48" t="n">
        <x:f>IF(COUNT(B398:C398)&lt;2,"",B398-C398)</x:f>
        <x:v>48.25999999999999</x:v>
      </x:c>
      <x:c r="K398" s="48" t="n">
        <x:f>IF(COUNT(D398,F398)&lt;2,"",D398-F398)</x:f>
        <x:v>172.57999999999998</x:v>
      </x:c>
      <x:c r="L398" s="48" t="n">
        <x:f>IF(COUNT(E398,G398)&lt;2,"",E398-G398)</x:f>
        <x:v>120.66</x:v>
      </x:c>
      <x:c r="M398" s="31" t="str">
        <x:v>网站结构化接口</x:v>
      </x:c>
      <x:c r="N398" s="36" t="d">
        <x:v>2026-10-28T14:16:22.777Z</x:v>
      </x:c>
    </x:row>
    <x:row r="399">
      <x:c r="A399" s="36" t="d">
        <x:v>2026-02-02T00:00:00.000Z</x:v>
      </x:c>
      <x:c r="B399" s="48" t="n">
        <x:v>202.61</x:v>
      </x:c>
      <x:c r="C399" s="48" t="n">
        <x:v>210.18</x:v>
      </x:c>
      <x:c r="D399" s="48" t="n">
        <x:v>226.9</x:v>
      </x:c>
      <x:c r="E399" s="48" t="n">
        <x:v>234.78</x:v>
      </x:c>
      <x:c r="F399" s="48" t="n">
        <x:v>101.12</x:v>
      </x:c>
      <x:c r="G399" s="48" t="n">
        <x:v>111.12</x:v>
      </x:c>
      <x:c r="H399" s="49" t="n">
        <x:v>562588.76</x:v>
      </x:c>
      <x:c r="I399" s="49" t="n">
        <x:v>574481.4</x:v>
      </x:c>
      <x:c r="J399" s="48" t="n">
        <x:f>IF(COUNT(B399:C399)&lt;2,"",B399-C399)</x:f>
        <x:v>-7.569999999999993</x:v>
      </x:c>
      <x:c r="K399" s="48" t="n">
        <x:f>IF(COUNT(D399,F399)&lt;2,"",D399-F399)</x:f>
        <x:v>125.78</x:v>
      </x:c>
      <x:c r="L399" s="48" t="n">
        <x:f>IF(COUNT(E399,G399)&lt;2,"",E399-G399)</x:f>
        <x:v>123.66</x:v>
      </x:c>
      <x:c r="M399" s="31" t="str">
        <x:v>网站结构化接口</x:v>
      </x:c>
      <x:c r="N399" s="36" t="d">
        <x:v>2026-10-28T14:16:22.777Z</x:v>
      </x:c>
    </x:row>
    <x:row r="400">
      <x:c r="A400" s="36" t="d">
        <x:v>2026-02-03T00:00:00.000Z</x:v>
      </x:c>
      <x:c r="B400" s="48" t="n">
        <x:v>177.92</x:v>
      </x:c>
      <x:c r="C400" s="48" t="n">
        <x:v>176.55</x:v>
      </x:c>
      <x:c r="D400" s="48" t="n">
        <x:v>196.45</x:v>
      </x:c>
      <x:c r="E400" s="48" t="n">
        <x:v>191.48</x:v>
      </x:c>
      <x:c r="F400" s="48" t="n">
        <x:v>107.87</x:v>
      </x:c>
      <x:c r="G400" s="48" t="n">
        <x:v>119.84</x:v>
      </x:c>
      <x:c r="H400" s="49" t="n">
        <x:v>554980.94</x:v>
      </x:c>
      <x:c r="I400" s="49" t="n">
        <x:v>558984.77</x:v>
      </x:c>
      <x:c r="J400" s="48" t="n">
        <x:f>IF(COUNT(B400:C400)&lt;2,"",B400-C400)</x:f>
        <x:v>1.3699999999999761</x:v>
      </x:c>
      <x:c r="K400" s="48" t="n">
        <x:f>IF(COUNT(D400,F400)&lt;2,"",D400-F400)</x:f>
        <x:v>88.57999999999998</x:v>
      </x:c>
      <x:c r="L400" s="48" t="n">
        <x:f>IF(COUNT(E400,G400)&lt;2,"",E400-G400)</x:f>
        <x:v>71.63999999999999</x:v>
      </x:c>
      <x:c r="M400" s="31" t="str">
        <x:v>网站结构化接口</x:v>
      </x:c>
      <x:c r="N400" s="36" t="d">
        <x:v>2026-10-28T14:16:22.777Z</x:v>
      </x:c>
    </x:row>
    <x:row r="401">
      <x:c r="A401" s="36" t="d">
        <x:v>2026-02-04T00:00:00.000Z</x:v>
      </x:c>
      <x:c r="B401" s="48" t="n">
        <x:v>280.75</x:v>
      </x:c>
      <x:c r="C401" s="48" t="n">
        <x:v>349.25</x:v>
      </x:c>
      <x:c r="D401" s="48" t="n">
        <x:v>316.73</x:v>
      </x:c>
      <x:c r="E401" s="48" t="n">
        <x:v>386.99</x:v>
      </x:c>
      <x:c r="F401" s="48" t="n">
        <x:v>115.64</x:v>
      </x:c>
      <x:c r="G401" s="48" t="n">
        <x:v>164.92</x:v>
      </x:c>
      <x:c r="H401" s="49" t="n">
        <x:v>558844.9</x:v>
      </x:c>
      <x:c r="I401" s="49" t="n">
        <x:v>579616.48</x:v>
      </x:c>
      <x:c r="J401" s="48" t="n">
        <x:f>IF(COUNT(B401:C401)&lt;2,"",B401-C401)</x:f>
        <x:v>-68.5</x:v>
      </x:c>
      <x:c r="K401" s="48" t="n">
        <x:f>IF(COUNT(D401,F401)&lt;2,"",D401-F401)</x:f>
        <x:v>201.09000000000003</x:v>
      </x:c>
      <x:c r="L401" s="48" t="n">
        <x:f>IF(COUNT(E401,G401)&lt;2,"",E401-G401)</x:f>
        <x:v>222.07000000000002</x:v>
      </x:c>
      <x:c r="M401" s="31" t="str">
        <x:v>网站结构化接口</x:v>
      </x:c>
      <x:c r="N401" s="36" t="d">
        <x:v>2026-10-28T14:16:22.777Z</x:v>
      </x:c>
    </x:row>
    <x:row r="402">
      <x:c r="A402" s="36" t="d">
        <x:v>2026-02-05T00:00:00.000Z</x:v>
      </x:c>
      <x:c r="B402" s="48" t="n">
        <x:v>334.41</x:v>
      </x:c>
      <x:c r="C402" s="48" t="n">
        <x:v>339.04</x:v>
      </x:c>
      <x:c r="D402" s="48" t="n">
        <x:v>356.61</x:v>
      </x:c>
      <x:c r="E402" s="48" t="n">
        <x:v>358.98</x:v>
      </x:c>
      <x:c r="F402" s="48" t="n">
        <x:v>195.4</x:v>
      </x:c>
      <x:c r="G402" s="48" t="n">
        <x:v>209.57</x:v>
      </x:c>
      <x:c r="H402" s="49" t="n">
        <x:v>592676.02</x:v>
      </x:c>
      <x:c r="I402" s="49" t="n">
        <x:v>589886.29</x:v>
      </x:c>
      <x:c r="J402" s="48" t="n">
        <x:f>IF(COUNT(B402:C402)&lt;2,"",B402-C402)</x:f>
        <x:v>-4.6299999999999955</x:v>
      </x:c>
      <x:c r="K402" s="48" t="n">
        <x:f>IF(COUNT(D402,F402)&lt;2,"",D402-F402)</x:f>
        <x:v>161.21</x:v>
      </x:c>
      <x:c r="L402" s="48" t="n">
        <x:f>IF(COUNT(E402,G402)&lt;2,"",E402-G402)</x:f>
        <x:v>149.41000000000003</x:v>
      </x:c>
      <x:c r="M402" s="31" t="str">
        <x:v>网站结构化接口</x:v>
      </x:c>
      <x:c r="N402" s="36" t="d">
        <x:v>2026-10-28T14:16:22.777Z</x:v>
      </x:c>
    </x:row>
    <x:row r="403">
      <x:c r="A403" s="36" t="d">
        <x:v>2026-02-06T00:00:00.000Z</x:v>
      </x:c>
      <x:c r="B403" s="48" t="n">
        <x:v>169.95</x:v>
      </x:c>
      <x:c r="C403" s="48" t="n">
        <x:v>162.29</x:v>
      </x:c>
      <x:c r="D403" s="48" t="n">
        <x:v>186.33</x:v>
      </x:c>
      <x:c r="E403" s="48" t="n">
        <x:v>174.28</x:v>
      </x:c>
      <x:c r="F403" s="48" t="n">
        <x:v>109.8</x:v>
      </x:c>
      <x:c r="G403" s="48" t="n">
        <x:v>119.63</x:v>
      </x:c>
      <x:c r="H403" s="49" t="n">
        <x:v>535350.73</x:v>
      </x:c>
      <x:c r="I403" s="49" t="n">
        <x:v>529175.36</x:v>
      </x:c>
      <x:c r="J403" s="48" t="n">
        <x:f>IF(COUNT(B403:C403)&lt;2,"",B403-C403)</x:f>
        <x:v>7.659999999999997</x:v>
      </x:c>
      <x:c r="K403" s="48" t="n">
        <x:f>IF(COUNT(D403,F403)&lt;2,"",D403-F403)</x:f>
        <x:v>76.53000000000002</x:v>
      </x:c>
      <x:c r="L403" s="48" t="n">
        <x:f>IF(COUNT(E403,G403)&lt;2,"",E403-G403)</x:f>
        <x:v>54.650000000000006</x:v>
      </x:c>
      <x:c r="M403" s="31" t="str">
        <x:v>网站结构化接口</x:v>
      </x:c>
      <x:c r="N403" s="36" t="d">
        <x:v>2026-10-28T14:16:22.777Z</x:v>
      </x:c>
    </x:row>
    <x:row r="404">
      <x:c r="A404" s="36" t="d">
        <x:v>2026-02-07T00:00:00.000Z</x:v>
      </x:c>
      <x:c r="B404" s="48" t="n">
        <x:v>263.46</x:v>
      </x:c>
      <x:c r="C404" s="48" t="n">
        <x:v>313</x:v>
      </x:c>
      <x:c r="D404" s="48" t="n">
        <x:v>307.49</x:v>
      </x:c>
      <x:c r="E404" s="48" t="n">
        <x:v>363</x:v>
      </x:c>
      <x:c r="F404" s="48" t="n">
        <x:v>93.44</x:v>
      </x:c>
      <x:c r="G404" s="48" t="n">
        <x:v>110.1</x:v>
      </x:c>
      <x:c r="H404" s="49" t="n">
        <x:v>531027.63</x:v>
      </x:c>
      <x:c r="I404" s="49" t="n">
        <x:v>540897.02</x:v>
      </x:c>
      <x:c r="J404" s="48" t="n">
        <x:f>IF(COUNT(B404:C404)&lt;2,"",B404-C404)</x:f>
        <x:v>-49.54000000000002</x:v>
      </x:c>
      <x:c r="K404" s="48" t="n">
        <x:f>IF(COUNT(D404,F404)&lt;2,"",D404-F404)</x:f>
        <x:v>214.05</x:v>
      </x:c>
      <x:c r="L404" s="48" t="n">
        <x:f>IF(COUNT(E404,G404)&lt;2,"",E404-G404)</x:f>
        <x:v>252.9</x:v>
      </x:c>
      <x:c r="M404" s="31" t="str">
        <x:v>网站结构化接口</x:v>
      </x:c>
      <x:c r="N404" s="36" t="d">
        <x:v>2026-10-28T14:16:22.777Z</x:v>
      </x:c>
    </x:row>
    <x:row r="405">
      <x:c r="A405" s="36" t="d">
        <x:v>2026-02-08T00:00:00.000Z</x:v>
      </x:c>
      <x:c r="B405" s="48" t="n">
        <x:v>214.66</x:v>
      </x:c>
      <x:c r="C405" s="48" t="n">
        <x:v>196.57</x:v>
      </x:c>
      <x:c r="D405" s="48" t="n">
        <x:v>249.89</x:v>
      </x:c>
      <x:c r="E405" s="48" t="n">
        <x:v>226.58</x:v>
      </x:c>
      <x:c r="F405" s="48" t="n">
        <x:v>99.55</x:v>
      </x:c>
      <x:c r="G405" s="48" t="n">
        <x:v>90.09</x:v>
      </x:c>
      <x:c r="H405" s="49" t="n">
        <x:v>532966.31</x:v>
      </x:c>
      <x:c r="I405" s="49" t="n">
        <x:v>521703.4</x:v>
      </x:c>
      <x:c r="J405" s="48" t="n">
        <x:f>IF(COUNT(B405:C405)&lt;2,"",B405-C405)</x:f>
        <x:v>18.090000000000003</x:v>
      </x:c>
      <x:c r="K405" s="48" t="n">
        <x:f>IF(COUNT(D405,F405)&lt;2,"",D405-F405)</x:f>
        <x:v>150.33999999999997</x:v>
      </x:c>
      <x:c r="L405" s="48" t="n">
        <x:f>IF(COUNT(E405,G405)&lt;2,"",E405-G405)</x:f>
        <x:v>136.49</x:v>
      </x:c>
      <x:c r="M405" s="31" t="str">
        <x:v>网站结构化接口</x:v>
      </x:c>
      <x:c r="N405" s="36" t="d">
        <x:v>2026-10-28T14:16:22.777Z</x:v>
      </x:c>
    </x:row>
    <x:row r="406">
      <x:c r="A406" s="36" t="d">
        <x:v>2026-02-09T00:00:00.000Z</x:v>
      </x:c>
      <x:c r="B406" s="48" t="n">
        <x:v>217.8</x:v>
      </x:c>
      <x:c r="C406" s="48" t="n">
        <x:v>190.68</x:v>
      </x:c>
      <x:c r="D406" s="48" t="n">
        <x:v>253.2</x:v>
      </x:c>
      <x:c r="E406" s="48" t="n">
        <x:v>202.05</x:v>
      </x:c>
      <x:c r="F406" s="48" t="n">
        <x:v>127.33</x:v>
      </x:c>
      <x:c r="G406" s="48" t="n">
        <x:v>158.23</x:v>
      </x:c>
      <x:c r="H406" s="49" t="n">
        <x:v>538921.06</x:v>
      </x:c>
      <x:c r="I406" s="49" t="n">
        <x:v>523679.3</x:v>
      </x:c>
      <x:c r="J406" s="48" t="n">
        <x:f>IF(COUNT(B406:C406)&lt;2,"",B406-C406)</x:f>
        <x:v>27.120000000000005</x:v>
      </x:c>
      <x:c r="K406" s="48" t="n">
        <x:f>IF(COUNT(D406,F406)&lt;2,"",D406-F406)</x:f>
        <x:v>125.86999999999999</x:v>
      </x:c>
      <x:c r="L406" s="48" t="n">
        <x:f>IF(COUNT(E406,G406)&lt;2,"",E406-G406)</x:f>
        <x:v>43.82000000000002</x:v>
      </x:c>
      <x:c r="M406" s="31" t="str">
        <x:v>网站结构化接口</x:v>
      </x:c>
      <x:c r="N406" s="36" t="d">
        <x:v>2026-10-28T14:16:22.777Z</x:v>
      </x:c>
    </x:row>
    <x:row r="407">
      <x:c r="A407" s="36" t="d">
        <x:v>2026-02-10T00:00:00.000Z</x:v>
      </x:c>
      <x:c r="B407" s="48" t="n">
        <x:v>134.84</x:v>
      </x:c>
      <x:c r="C407" s="48" t="n">
        <x:v>150.21</x:v>
      </x:c>
      <x:c r="D407" s="48" t="n">
        <x:v>175.06</x:v>
      </x:c>
      <x:c r="E407" s="48" t="n">
        <x:v>192.72</x:v>
      </x:c>
      <x:c r="F407" s="48" t="n">
        <x:v>24.64</x:v>
      </x:c>
      <x:c r="G407" s="48" t="n">
        <x:v>25.11</x:v>
      </x:c>
      <x:c r="H407" s="49" t="n">
        <x:v>493088.77</x:v>
      </x:c>
      <x:c r="I407" s="49" t="n">
        <x:v>491078.91</x:v>
      </x:c>
      <x:c r="J407" s="48" t="n">
        <x:f>IF(COUNT(B407:C407)&lt;2,"",B407-C407)</x:f>
        <x:v>-15.370000000000005</x:v>
      </x:c>
      <x:c r="K407" s="48" t="n">
        <x:f>IF(COUNT(D407,F407)&lt;2,"",D407-F407)</x:f>
        <x:v>150.42000000000002</x:v>
      </x:c>
      <x:c r="L407" s="48" t="n">
        <x:f>IF(COUNT(E407,G407)&lt;2,"",E407-G407)</x:f>
        <x:v>167.61</x:v>
      </x:c>
      <x:c r="M407" s="31" t="str">
        <x:v>网站结构化接口</x:v>
      </x:c>
      <x:c r="N407" s="36" t="d">
        <x:v>2026-10-28T14:16:22.777Z</x:v>
      </x:c>
    </x:row>
    <x:row r="408">
      <x:c r="A408" s="36" t="d">
        <x:v>2026-02-11T00:00:00.000Z</x:v>
      </x:c>
      <x:c r="B408" s="48" t="n">
        <x:v>146.98</x:v>
      </x:c>
      <x:c r="C408" s="48" t="n">
        <x:v>151.74</x:v>
      </x:c>
      <x:c r="D408" s="48" t="n">
        <x:v>172.89</x:v>
      </x:c>
      <x:c r="E408" s="48" t="n">
        <x:v>175.77</x:v>
      </x:c>
      <x:c r="F408" s="48" t="n">
        <x:v>67.19</x:v>
      </x:c>
      <x:c r="G408" s="48" t="n">
        <x:v>64.97</x:v>
      </x:c>
      <x:c r="H408" s="49" t="n">
        <x:v>487810.65</x:v>
      </x:c>
      <x:c r="I408" s="49" t="n">
        <x:v>473278.36</x:v>
      </x:c>
      <x:c r="J408" s="48" t="n">
        <x:f>IF(COUNT(B408:C408)&lt;2,"",B408-C408)</x:f>
        <x:v>-4.760000000000019</x:v>
      </x:c>
      <x:c r="K408" s="48" t="n">
        <x:f>IF(COUNT(D408,F408)&lt;2,"",D408-F408)</x:f>
        <x:v>105.69999999999999</x:v>
      </x:c>
      <x:c r="L408" s="48" t="n">
        <x:f>IF(COUNT(E408,G408)&lt;2,"",E408-G408)</x:f>
        <x:v>110.80000000000001</x:v>
      </x:c>
      <x:c r="M408" s="31" t="str">
        <x:v>网站结构化接口</x:v>
      </x:c>
      <x:c r="N408" s="36" t="d">
        <x:v>2026-10-28T14:16:22.777Z</x:v>
      </x:c>
    </x:row>
    <x:row r="409">
      <x:c r="A409" s="36" t="d">
        <x:v>2026-02-12T00:00:00.000Z</x:v>
      </x:c>
      <x:c r="B409" s="48" t="n">
        <x:v>241.6</x:v>
      </x:c>
      <x:c r="C409" s="48" t="n">
        <x:v>213.32</x:v>
      </x:c>
      <x:c r="D409" s="48" t="n">
        <x:v>276.54</x:v>
      </x:c>
      <x:c r="E409" s="48" t="n">
        <x:v>243.01</x:v>
      </x:c>
      <x:c r="F409" s="48" t="n">
        <x:v>119.46</x:v>
      </x:c>
      <x:c r="G409" s="48" t="n">
        <x:v>108.27</x:v>
      </x:c>
      <x:c r="H409" s="49" t="n">
        <x:v>506952.44</x:v>
      </x:c>
      <x:c r="I409" s="49" t="n">
        <x:v>495162.38</x:v>
      </x:c>
      <x:c r="J409" s="48" t="n">
        <x:f>IF(COUNT(B409:C409)&lt;2,"",B409-C409)</x:f>
        <x:v>28.28</x:v>
      </x:c>
      <x:c r="K409" s="48" t="n">
        <x:f>IF(COUNT(D409,F409)&lt;2,"",D409-F409)</x:f>
        <x:v>157.08000000000004</x:v>
      </x:c>
      <x:c r="L409" s="48" t="n">
        <x:f>IF(COUNT(E409,G409)&lt;2,"",E409-G409)</x:f>
        <x:v>134.74</x:v>
      </x:c>
      <x:c r="M409" s="31" t="str">
        <x:v>网站结构化接口</x:v>
      </x:c>
      <x:c r="N409" s="36" t="d">
        <x:v>2026-10-28T14:16:22.777Z</x:v>
      </x:c>
    </x:row>
    <x:row r="410">
      <x:c r="A410" s="36" t="d">
        <x:v>2026-02-13T00:00:00.000Z</x:v>
      </x:c>
      <x:c r="B410" s="48" t="n">
        <x:v>230.3</x:v>
      </x:c>
      <x:c r="C410" s="48" t="n">
        <x:v>231.83</x:v>
      </x:c>
      <x:c r="D410" s="48" t="n">
        <x:v>262.33</x:v>
      </x:c>
      <x:c r="E410" s="48" t="n">
        <x:v>264.18</x:v>
      </x:c>
      <x:c r="F410" s="48" t="n">
        <x:v>125.96</x:v>
      </x:c>
      <x:c r="G410" s="48" t="n">
        <x:v>104.28</x:v>
      </x:c>
      <x:c r="H410" s="49" t="n">
        <x:v>464230.31</x:v>
      </x:c>
      <x:c r="I410" s="49" t="n">
        <x:v>448103.42</x:v>
      </x:c>
      <x:c r="J410" s="48" t="n">
        <x:f>IF(COUNT(B410:C410)&lt;2,"",B410-C410)</x:f>
        <x:v>-1.5300000000000011</x:v>
      </x:c>
      <x:c r="K410" s="48" t="n">
        <x:f>IF(COUNT(D410,F410)&lt;2,"",D410-F410)</x:f>
        <x:v>136.37</x:v>
      </x:c>
      <x:c r="L410" s="48" t="n">
        <x:f>IF(COUNT(E410,G410)&lt;2,"",E410-G410)</x:f>
        <x:v>159.9</x:v>
      </x:c>
      <x:c r="M410" s="31" t="str">
        <x:v>网站结构化接口</x:v>
      </x:c>
      <x:c r="N410" s="36" t="d">
        <x:v>2026-10-28T14:16:22.777Z</x:v>
      </x:c>
    </x:row>
    <x:row r="411">
      <x:c r="A411" s="36" t="d">
        <x:v>2026-02-14T00:00:00.000Z</x:v>
      </x:c>
      <x:c r="B411" s="48" t="n">
        <x:v>75.89</x:v>
      </x:c>
      <x:c r="C411" s="48" t="n">
        <x:v>31.43</x:v>
      </x:c>
      <x:c r="D411" s="48" t="n">
        <x:v>89.18</x:v>
      </x:c>
      <x:c r="E411" s="48" t="n">
        <x:v>33.67</x:v>
      </x:c>
      <x:c r="F411" s="48" t="n">
        <x:v>46.35</x:v>
      </x:c>
      <x:c r="G411" s="48" t="n">
        <x:v>26.49</x:v>
      </x:c>
      <x:c r="H411" s="49" t="n">
        <x:v>422553.2</x:v>
      </x:c>
      <x:c r="I411" s="49" t="n">
        <x:v>396161.36</x:v>
      </x:c>
      <x:c r="J411" s="48" t="n">
        <x:f>IF(COUNT(B411:C411)&lt;2,"",B411-C411)</x:f>
        <x:v>44.46</x:v>
      </x:c>
      <x:c r="K411" s="48" t="n">
        <x:f>IF(COUNT(D411,F411)&lt;2,"",D411-F411)</x:f>
        <x:v>42.830000000000005</x:v>
      </x:c>
      <x:c r="L411" s="48" t="n">
        <x:f>IF(COUNT(E411,G411)&lt;2,"",E411-G411)</x:f>
        <x:v>7.180000000000003</x:v>
      </x:c>
      <x:c r="M411" s="31" t="str">
        <x:v>网站结构化接口</x:v>
      </x:c>
      <x:c r="N411" s="36" t="d">
        <x:v>2026-10-28T14:16:22.777Z</x:v>
      </x:c>
    </x:row>
    <x:row r="412">
      <x:c r="A412" s="36" t="d">
        <x:v>2026-02-15T00:00:00.000Z</x:v>
      </x:c>
      <x:c r="B412" s="48" t="n">
        <x:v>257.37</x:v>
      </x:c>
      <x:c r="C412" s="48" t="n">
        <x:v>189.64</x:v>
      </x:c>
      <x:c r="D412" s="48" t="n">
        <x:v>311.72</x:v>
      </x:c>
      <x:c r="E412" s="48" t="n">
        <x:v>224.74</x:v>
      </x:c>
      <x:c r="F412" s="48" t="n">
        <x:v>97.68</x:v>
      </x:c>
      <x:c r="G412" s="48" t="n">
        <x:v>91.53</x:v>
      </x:c>
      <x:c r="H412" s="49" t="n">
        <x:v>426780.54</x:v>
      </x:c>
      <x:c r="I412" s="49" t="n">
        <x:v>432858.53</x:v>
      </x:c>
      <x:c r="J412" s="48" t="n">
        <x:f>IF(COUNT(B412:C412)&lt;2,"",B412-C412)</x:f>
        <x:v>67.73000000000002</x:v>
      </x:c>
      <x:c r="K412" s="48" t="n">
        <x:f>IF(COUNT(D412,F412)&lt;2,"",D412-F412)</x:f>
        <x:v>214.04000000000002</x:v>
      </x:c>
      <x:c r="L412" s="48" t="n">
        <x:f>IF(COUNT(E412,G412)&lt;2,"",E412-G412)</x:f>
        <x:v>133.21</x:v>
      </x:c>
      <x:c r="M412" s="31" t="str">
        <x:v>网站结构化接口</x:v>
      </x:c>
      <x:c r="N412" s="36" t="d">
        <x:v>2026-10-28T14:16:22.777Z</x:v>
      </x:c>
    </x:row>
    <x:row r="413">
      <x:c r="A413" s="36" t="d">
        <x:v>2026-02-16T00:00:00.000Z</x:v>
      </x:c>
      <x:c r="B413" s="48" t="n">
        <x:v>367.35</x:v>
      </x:c>
      <x:c r="C413" s="48" t="n">
        <x:v>411.07</x:v>
      </x:c>
      <x:c r="D413" s="48" t="n">
        <x:v>414.73</x:v>
      </x:c>
      <x:c r="E413" s="48" t="n">
        <x:v>462.01</x:v>
      </x:c>
      <x:c r="F413" s="48" t="n">
        <x:v>126.79</x:v>
      </x:c>
      <x:c r="G413" s="48" t="n">
        <x:v>151.41</x:v>
      </x:c>
      <x:c r="H413" s="49" t="n">
        <x:v>429648.48</x:v>
      </x:c>
      <x:c r="I413" s="49" t="n">
        <x:v>435692.25</x:v>
      </x:c>
      <x:c r="J413" s="48" t="n">
        <x:f>IF(COUNT(B413:C413)&lt;2,"",B413-C413)</x:f>
        <x:v>-43.71999999999997</x:v>
      </x:c>
      <x:c r="K413" s="48" t="n">
        <x:f>IF(COUNT(D413,F413)&lt;2,"",D413-F413)</x:f>
        <x:v>287.94</x:v>
      </x:c>
      <x:c r="L413" s="48" t="n">
        <x:f>IF(COUNT(E413,G413)&lt;2,"",E413-G413)</x:f>
        <x:v>310.6</x:v>
      </x:c>
      <x:c r="M413" s="31" t="str">
        <x:v>网站结构化接口</x:v>
      </x:c>
      <x:c r="N413" s="36" t="d">
        <x:v>2026-10-28T14:16:22.777Z</x:v>
      </x:c>
    </x:row>
    <x:row r="414">
      <x:c r="A414" s="36" t="d">
        <x:v>2026-02-17T00:00:00.000Z</x:v>
      </x:c>
      <x:c r="B414" s="48" t="n">
        <x:v>409.05</x:v>
      </x:c>
      <x:c r="C414" s="48" t="n">
        <x:v>255.87</x:v>
      </x:c>
      <x:c r="D414" s="48" t="n">
        <x:v>460.86</x:v>
      </x:c>
      <x:c r="E414" s="48" t="n">
        <x:v>281.29</x:v>
      </x:c>
      <x:c r="F414" s="48" t="n">
        <x:v>120.75</x:v>
      </x:c>
      <x:c r="G414" s="48" t="n">
        <x:v>88.45</x:v>
      </x:c>
      <x:c r="H414" s="49" t="n">
        <x:v>419973.43</x:v>
      </x:c>
      <x:c r="I414" s="49" t="n">
        <x:v>395036.15</x:v>
      </x:c>
      <x:c r="J414" s="48" t="n">
        <x:f>IF(COUNT(B414:C414)&lt;2,"",B414-C414)</x:f>
        <x:v>153.18</x:v>
      </x:c>
      <x:c r="K414" s="48" t="n">
        <x:f>IF(COUNT(D414,F414)&lt;2,"",D414-F414)</x:f>
        <x:v>340.11</x:v>
      </x:c>
      <x:c r="L414" s="48" t="n">
        <x:f>IF(COUNT(E414,G414)&lt;2,"",E414-G414)</x:f>
        <x:v>192.84000000000003</x:v>
      </x:c>
      <x:c r="M414" s="31" t="str">
        <x:v>网站结构化接口</x:v>
      </x:c>
      <x:c r="N414" s="36" t="d">
        <x:v>2026-10-28T14:16:22.777Z</x:v>
      </x:c>
    </x:row>
    <x:row r="415">
      <x:c r="A415" s="36" t="d">
        <x:v>2026-02-18T00:00:00.000Z</x:v>
      </x:c>
      <x:c r="B415" s="48" t="n">
        <x:v>242.28</x:v>
      </x:c>
      <x:c r="C415" s="48" t="n">
        <x:v>181.55</x:v>
      </x:c>
      <x:c r="D415" s="48" t="n">
        <x:v>268.95</x:v>
      </x:c>
      <x:c r="E415" s="48" t="n">
        <x:v>204.36</x:v>
      </x:c>
      <x:c r="F415" s="48" t="n">
        <x:v>117.61</x:v>
      </x:c>
      <x:c r="G415" s="48" t="n">
        <x:v>82.61</x:v>
      </x:c>
      <x:c r="H415" s="49" t="n">
        <x:v>386561.53</x:v>
      </x:c>
      <x:c r="I415" s="49" t="n">
        <x:v>376034.94</x:v>
      </x:c>
      <x:c r="J415" s="48" t="n">
        <x:f>IF(COUNT(B415:C415)&lt;2,"",B415-C415)</x:f>
        <x:v>60.72999999999999</x:v>
      </x:c>
      <x:c r="K415" s="48" t="n">
        <x:f>IF(COUNT(D415,F415)&lt;2,"",D415-F415)</x:f>
        <x:v>151.33999999999997</x:v>
      </x:c>
      <x:c r="L415" s="48" t="n">
        <x:f>IF(COUNT(E415,G415)&lt;2,"",E415-G415)</x:f>
        <x:v>121.75000000000001</x:v>
      </x:c>
      <x:c r="M415" s="31" t="str">
        <x:v>网站结构化接口</x:v>
      </x:c>
      <x:c r="N415" s="36" t="d">
        <x:v>2026-10-28T14:16:22.777Z</x:v>
      </x:c>
    </x:row>
    <x:row r="416">
      <x:c r="A416" s="36" t="d">
        <x:v>2026-02-19T00:00:00.000Z</x:v>
      </x:c>
      <x:c r="B416" s="48" t="n">
        <x:v>1.75</x:v>
      </x:c>
      <x:c r="C416" s="48" t="n">
        <x:v>0.01</x:v>
      </x:c>
      <x:c r="D416" s="48" t="n">
        <x:v>1.89</x:v>
      </x:c>
      <x:c r="E416" s="48" t="n">
        <x:v>0.01</x:v>
      </x:c>
      <x:c r="F416" s="48" t="n">
        <x:v>1.42</x:v>
      </x:c>
      <x:c r="G416" s="48" t="n">
        <x:v>0.01</x:v>
      </x:c>
      <x:c r="H416" s="49" t="n">
        <x:v>363038.36</x:v>
      </x:c>
      <x:c r="I416" s="49" t="n">
        <x:v>345101.68</x:v>
      </x:c>
      <x:c r="J416" s="48" t="n">
        <x:f>IF(COUNT(B416:C416)&lt;2,"",B416-C416)</x:f>
        <x:v>1.74</x:v>
      </x:c>
      <x:c r="K416" s="48" t="n">
        <x:f>IF(COUNT(D416,F416)&lt;2,"",D416-F416)</x:f>
        <x:v>0.47</x:v>
      </x:c>
      <x:c r="L416" s="48" t="n">
        <x:f>IF(COUNT(E416,G416)&lt;2,"",E416-G416)</x:f>
        <x:v>0</x:v>
      </x:c>
      <x:c r="M416" s="31" t="str">
        <x:v>网站结构化接口</x:v>
      </x:c>
      <x:c r="N416" s="36" t="d">
        <x:v>2026-10-28T14:16:22.777Z</x:v>
      </x:c>
    </x:row>
    <x:row r="417">
      <x:c r="A417" s="36" t="d">
        <x:v>2026-02-20T00:00:00.000Z</x:v>
      </x:c>
      <x:c r="B417" s="48" t="n">
        <x:v>0</x:v>
      </x:c>
      <x:c r="C417" s="48" t="n">
        <x:v>3.59</x:v>
      </x:c>
      <x:c r="D417" s="48" t="n">
        <x:v>0</x:v>
      </x:c>
      <x:c r="E417" s="48" t="n">
        <x:v>3.63</x:v>
      </x:c>
      <x:c r="F417" s="48" t="n">
        <x:v>0</x:v>
      </x:c>
      <x:c r="G417" s="48" t="n">
        <x:v>3.53</x:v>
      </x:c>
      <x:c r="H417" s="49" t="n">
        <x:v>361467.51</x:v>
      </x:c>
      <x:c r="I417" s="49" t="n">
        <x:v>342762.01</x:v>
      </x:c>
      <x:c r="J417" s="48" t="n">
        <x:f>IF(COUNT(B417:C417)&lt;2,"",B417-C417)</x:f>
        <x:v>-3.59</x:v>
      </x:c>
      <x:c r="K417" s="48" t="n">
        <x:f>IF(COUNT(D417,F417)&lt;2,"",D417-F417)</x:f>
        <x:v>0</x:v>
      </x:c>
      <x:c r="L417" s="48" t="n">
        <x:f>IF(COUNT(E417,G417)&lt;2,"",E417-G417)</x:f>
        <x:v>0.10000000000000009</x:v>
      </x:c>
      <x:c r="M417" s="31" t="str">
        <x:v>网站结构化接口</x:v>
      </x:c>
      <x:c r="N417" s="36" t="d">
        <x:v>2026-10-28T14:16:22.777Z</x:v>
      </x:c>
    </x:row>
    <x:row r="418">
      <x:c r="A418" s="36" t="d">
        <x:v>2026-02-21T00:00:00.000Z</x:v>
      </x:c>
      <x:c r="B418" s="48" t="n">
        <x:v>0.01</x:v>
      </x:c>
      <x:c r="C418" s="48" t="n">
        <x:v>0.02</x:v>
      </x:c>
      <x:c r="D418" s="48" t="n">
        <x:v>0.01</x:v>
      </x:c>
      <x:c r="E418" s="48" t="n">
        <x:v>0.02</x:v>
      </x:c>
      <x:c r="F418" s="48" t="n">
        <x:v>0.01</x:v>
      </x:c>
      <x:c r="G418" s="48" t="n">
        <x:v>0.02</x:v>
      </x:c>
      <x:c r="H418" s="49" t="n">
        <x:v>362408.48</x:v>
      </x:c>
      <x:c r="I418" s="49" t="n">
        <x:v>344106.7</x:v>
      </x:c>
      <x:c r="J418" s="48" t="n">
        <x:f>IF(COUNT(B418:C418)&lt;2,"",B418-C418)</x:f>
        <x:v>-0.01</x:v>
      </x:c>
      <x:c r="K418" s="48" t="n">
        <x:f>IF(COUNT(D418,F418)&lt;2,"",D418-F418)</x:f>
        <x:v>0</x:v>
      </x:c>
      <x:c r="L418" s="48" t="n">
        <x:f>IF(COUNT(E418,G418)&lt;2,"",E418-G418)</x:f>
        <x:v>0</x:v>
      </x:c>
      <x:c r="M418" s="31" t="str">
        <x:v>网站结构化接口</x:v>
      </x:c>
      <x:c r="N418" s="36" t="d">
        <x:v>2026-10-28T14:16:22.777Z</x:v>
      </x:c>
    </x:row>
    <x:row r="419">
      <x:c r="A419" s="36" t="d">
        <x:v>2026-02-22T00:00:00.000Z</x:v>
      </x:c>
      <x:c r="B419" s="48" t="n">
        <x:v>136.63</x:v>
      </x:c>
      <x:c r="C419" s="48" t="n">
        <x:v>111.5</x:v>
      </x:c>
      <x:c r="D419" s="48" t="n">
        <x:v>163.78</x:v>
      </x:c>
      <x:c r="E419" s="48" t="n">
        <x:v>135.28</x:v>
      </x:c>
      <x:c r="F419" s="48" t="n">
        <x:v>62.17</x:v>
      </x:c>
      <x:c r="G419" s="48" t="n">
        <x:v>42.86</x:v>
      </x:c>
      <x:c r="H419" s="49" t="n">
        <x:v>390420.64</x:v>
      </x:c>
      <x:c r="I419" s="49" t="n">
        <x:v>381169.24</x:v>
      </x:c>
      <x:c r="J419" s="48" t="n">
        <x:f>IF(COUNT(B419:C419)&lt;2,"",B419-C419)</x:f>
        <x:v>25.129999999999995</x:v>
      </x:c>
      <x:c r="K419" s="48" t="n">
        <x:f>IF(COUNT(D419,F419)&lt;2,"",D419-F419)</x:f>
        <x:v>101.61</x:v>
      </x:c>
      <x:c r="L419" s="48" t="n">
        <x:f>IF(COUNT(E419,G419)&lt;2,"",E419-G419)</x:f>
        <x:v>92.42</x:v>
      </x:c>
      <x:c r="M419" s="31" t="str">
        <x:v>网站结构化接口</x:v>
      </x:c>
      <x:c r="N419" s="36" t="d">
        <x:v>2026-10-28T14:16:22.777Z</x:v>
      </x:c>
    </x:row>
    <x:row r="420">
      <x:c r="A420" s="36" t="d">
        <x:v>2026-02-23T00:00:00.000Z</x:v>
      </x:c>
      <x:c r="B420" s="48" t="n">
        <x:v>399.96</x:v>
      </x:c>
      <x:c r="C420" s="48" t="n">
        <x:v>285.35</x:v>
      </x:c>
      <x:c r="D420" s="48" t="n">
        <x:v>430.74</x:v>
      </x:c>
      <x:c r="E420" s="48" t="n">
        <x:v>299.86</x:v>
      </x:c>
      <x:c r="F420" s="48" t="n">
        <x:v>241.72</x:v>
      </x:c>
      <x:c r="G420" s="48" t="n">
        <x:v>205.41</x:v>
      </x:c>
      <x:c r="H420" s="49" t="n">
        <x:v>454717.92</x:v>
      </x:c>
      <x:c r="I420" s="49" t="n">
        <x:v>440085.77</x:v>
      </x:c>
      <x:c r="J420" s="48" t="n">
        <x:f>IF(COUNT(B420:C420)&lt;2,"",B420-C420)</x:f>
        <x:v>114.60999999999996</x:v>
      </x:c>
      <x:c r="K420" s="48" t="n">
        <x:f>IF(COUNT(D420,F420)&lt;2,"",D420-F420)</x:f>
        <x:v>189.02</x:v>
      </x:c>
      <x:c r="L420" s="48" t="n">
        <x:f>IF(COUNT(E420,G420)&lt;2,"",E420-G420)</x:f>
        <x:v>94.45000000000002</x:v>
      </x:c>
      <x:c r="M420" s="31" t="str">
        <x:v>网站结构化接口</x:v>
      </x:c>
      <x:c r="N420" s="36" t="d">
        <x:v>2026-10-28T14:16:22.777Z</x:v>
      </x:c>
    </x:row>
    <x:row r="421">
      <x:c r="A421" s="36" t="d">
        <x:v>2026-02-24T00:00:00.000Z</x:v>
      </x:c>
      <x:c r="B421" s="48" t="n">
        <x:v>202.43</x:v>
      </x:c>
      <x:c r="C421" s="48" t="n">
        <x:v>231.58</x:v>
      </x:c>
      <x:c r="D421" s="48" t="n">
        <x:v>250.22</x:v>
      </x:c>
      <x:c r="E421" s="48" t="n">
        <x:v>284.52</x:v>
      </x:c>
      <x:c r="F421" s="48" t="n">
        <x:v>87.33</x:v>
      </x:c>
      <x:c r="G421" s="48" t="n">
        <x:v>96.93</x:v>
      </x:c>
      <x:c r="H421" s="49" t="n">
        <x:v>449042</x:v>
      </x:c>
      <x:c r="I421" s="49" t="n">
        <x:v>453630.96</x:v>
      </x:c>
      <x:c r="J421" s="48" t="n">
        <x:f>IF(COUNT(B421:C421)&lt;2,"",B421-C421)</x:f>
        <x:v>-29.150000000000006</x:v>
      </x:c>
      <x:c r="K421" s="48" t="n">
        <x:f>IF(COUNT(D421,F421)&lt;2,"",D421-F421)</x:f>
        <x:v>162.89</x:v>
      </x:c>
      <x:c r="L421" s="48" t="n">
        <x:f>IF(COUNT(E421,G421)&lt;2,"",E421-G421)</x:f>
        <x:v>187.58999999999997</x:v>
      </x:c>
      <x:c r="M421" s="31" t="str">
        <x:v>网站结构化接口</x:v>
      </x:c>
      <x:c r="N421" s="36" t="d">
        <x:v>2026-10-28T14:16:22.777Z</x:v>
      </x:c>
    </x:row>
    <x:row r="422">
      <x:c r="A422" s="36" t="d">
        <x:v>2026-02-25T00:00:00.000Z</x:v>
      </x:c>
      <x:c r="B422" s="48" t="n">
        <x:v>141.72</x:v>
      </x:c>
      <x:c r="C422" s="48" t="n">
        <x:v>226.2</x:v>
      </x:c>
      <x:c r="D422" s="48" t="n">
        <x:v>172.19</x:v>
      </x:c>
      <x:c r="E422" s="48" t="n">
        <x:v>258.08</x:v>
      </x:c>
      <x:c r="F422" s="48" t="n">
        <x:v>83.87</x:v>
      </x:c>
      <x:c r="G422" s="48" t="n">
        <x:v>153.23</x:v>
      </x:c>
      <x:c r="H422" s="49" t="n">
        <x:v>455728.79</x:v>
      </x:c>
      <x:c r="I422" s="49" t="n">
        <x:v>468134.72</x:v>
      </x:c>
      <x:c r="J422" s="48" t="n">
        <x:f>IF(COUNT(B422:C422)&lt;2,"",B422-C422)</x:f>
        <x:v>-84.47999999999999</x:v>
      </x:c>
      <x:c r="K422" s="48" t="n">
        <x:f>IF(COUNT(D422,F422)&lt;2,"",D422-F422)</x:f>
        <x:v>88.32</x:v>
      </x:c>
      <x:c r="L422" s="48" t="n">
        <x:f>IF(COUNT(E422,G422)&lt;2,"",E422-G422)</x:f>
        <x:v>104.85</x:v>
      </x:c>
      <x:c r="M422" s="31" t="str">
        <x:v>网站结构化接口</x:v>
      </x:c>
      <x:c r="N422" s="36" t="d">
        <x:v>2026-10-28T14:16:22.777Z</x:v>
      </x:c>
    </x:row>
    <x:row r="423">
      <x:c r="A423" s="36" t="d">
        <x:v>2026-02-26T00:00:00.000Z</x:v>
      </x:c>
      <x:c r="B423" s="48" t="n">
        <x:v>271.8</x:v>
      </x:c>
      <x:c r="C423" s="48" t="n">
        <x:v>267.46</x:v>
      </x:c>
      <x:c r="D423" s="48" t="n">
        <x:v>319.22</x:v>
      </x:c>
      <x:c r="E423" s="48" t="n">
        <x:v>315.01</x:v>
      </x:c>
      <x:c r="F423" s="48" t="n">
        <x:v>134.22</x:v>
      </x:c>
      <x:c r="G423" s="48" t="n">
        <x:v>129.04</x:v>
      </x:c>
      <x:c r="H423" s="49" t="n">
        <x:v>476100.8</x:v>
      </x:c>
      <x:c r="I423" s="49" t="n">
        <x:v>470220.27</x:v>
      </x:c>
      <x:c r="J423" s="48" t="n">
        <x:f>IF(COUNT(B423:C423)&lt;2,"",B423-C423)</x:f>
        <x:v>4.340000000000032</x:v>
      </x:c>
      <x:c r="K423" s="48" t="n">
        <x:f>IF(COUNT(D423,F423)&lt;2,"",D423-F423)</x:f>
        <x:v>185.00000000000003</x:v>
      </x:c>
      <x:c r="L423" s="48" t="n">
        <x:f>IF(COUNT(E423,G423)&lt;2,"",E423-G423)</x:f>
        <x:v>185.97</x:v>
      </x:c>
      <x:c r="M423" s="31" t="str">
        <x:v>网站结构化接口</x:v>
      </x:c>
      <x:c r="N423" s="36" t="d">
        <x:v>2026-10-28T14:16:22.777Z</x:v>
      </x:c>
    </x:row>
    <x:row r="424">
      <x:c r="A424" s="36" t="d">
        <x:v>2026-02-27T00:00:00.000Z</x:v>
      </x:c>
      <x:c r="B424" s="48" t="n">
        <x:v>199.36</x:v>
      </x:c>
      <x:c r="C424" s="48" t="n">
        <x:v>267.31</x:v>
      </x:c>
      <x:c r="D424" s="48" t="n">
        <x:v>246.51</x:v>
      </x:c>
      <x:c r="E424" s="48" t="n">
        <x:v>303</x:v>
      </x:c>
      <x:c r="F424" s="48" t="n">
        <x:v>90.82</x:v>
      </x:c>
      <x:c r="G424" s="48" t="n">
        <x:v>174.28</x:v>
      </x:c>
      <x:c r="H424" s="49" t="n">
        <x:v>463168.3</x:v>
      </x:c>
      <x:c r="I424" s="49" t="n">
        <x:v>482559.77</x:v>
      </x:c>
      <x:c r="J424" s="48" t="n">
        <x:f>IF(COUNT(B424:C424)&lt;2,"",B424-C424)</x:f>
        <x:v>-67.94999999999999</x:v>
      </x:c>
      <x:c r="K424" s="48" t="n">
        <x:f>IF(COUNT(D424,F424)&lt;2,"",D424-F424)</x:f>
        <x:v>155.69</x:v>
      </x:c>
      <x:c r="L424" s="48" t="n">
        <x:f>IF(COUNT(E424,G424)&lt;2,"",E424-G424)</x:f>
        <x:v>128.72</x:v>
      </x:c>
      <x:c r="M424" s="31" t="str">
        <x:v>网站结构化接口</x:v>
      </x:c>
      <x:c r="N424" s="36" t="d">
        <x:v>2026-10-28T14:16:22.777Z</x:v>
      </x:c>
    </x:row>
    <x:row r="425">
      <x:c r="A425" s="36" t="d">
        <x:v>2026-02-28T00:00:00.000Z</x:v>
      </x:c>
      <x:c r="B425" s="48" t="n">
        <x:v>270</x:v>
      </x:c>
      <x:c r="C425" s="48" t="n">
        <x:v>244.95</x:v>
      </x:c>
      <x:c r="D425" s="48" t="n">
        <x:v>295.46</x:v>
      </x:c>
      <x:c r="E425" s="48" t="n">
        <x:v>261.37</x:v>
      </x:c>
      <x:c r="F425" s="48" t="n">
        <x:v>149.25</x:v>
      </x:c>
      <x:c r="G425" s="48" t="n">
        <x:v>163.78</x:v>
      </x:c>
      <x:c r="H425" s="49" t="n">
        <x:v>502175.12</x:v>
      </x:c>
      <x:c r="I425" s="49" t="n">
        <x:v>491082.89</x:v>
      </x:c>
      <x:c r="J425" s="48" t="n">
        <x:f>IF(COUNT(B425:C425)&lt;2,"",B425-C425)</x:f>
        <x:v>25.05000000000001</x:v>
      </x:c>
      <x:c r="K425" s="48" t="n">
        <x:f>IF(COUNT(D425,F425)&lt;2,"",D425-F425)</x:f>
        <x:v>146.20999999999998</x:v>
      </x:c>
      <x:c r="L425" s="48" t="n">
        <x:f>IF(COUNT(E425,G425)&lt;2,"",E425-G425)</x:f>
        <x:v>97.59</x:v>
      </x:c>
      <x:c r="M425" s="31" t="str">
        <x:v>网站结构化接口</x:v>
      </x:c>
      <x:c r="N425" s="36" t="d">
        <x:v>2026-10-28T14:16:22.777Z</x:v>
      </x:c>
    </x:row>
    <x:row r="426">
      <x:c r="A426" s="36" t="d">
        <x:v>2026-03-01T00:00:00.000Z</x:v>
      </x:c>
      <x:c r="B426" s="48" t="n">
        <x:v>363.14</x:v>
      </x:c>
      <x:c r="C426" s="48" t="n">
        <x:v>373.53</x:v>
      </x:c>
      <x:c r="D426" s="48" t="n">
        <x:v>362.71</x:v>
      </x:c>
      <x:c r="E426" s="48" t="n">
        <x:v>375.4</x:v>
      </x:c>
      <x:c r="F426" s="48" t="n">
        <x:v>367.64</x:v>
      </x:c>
      <x:c r="G426" s="48" t="n">
        <x:v>347.66</x:v>
      </x:c>
      <x:c r="H426" s="49" t="n">
        <x:v>564329.9</x:v>
      </x:c>
      <x:c r="I426" s="49" t="n">
        <x:v>553757.69</x:v>
      </x:c>
      <x:c r="J426" s="48" t="n">
        <x:f>IF(COUNT(B426:C426)&lt;2,"",B426-C426)</x:f>
        <x:v>-10.389999999999986</x:v>
      </x:c>
      <x:c r="K426" s="48" t="n">
        <x:f>IF(COUNT(D426,F426)&lt;2,"",D426-F426)</x:f>
        <x:v>-4.930000000000007</x:v>
      </x:c>
      <x:c r="L426" s="48" t="n">
        <x:f>IF(COUNT(E426,G426)&lt;2,"",E426-G426)</x:f>
        <x:v>27.739999999999952</x:v>
      </x:c>
      <x:c r="M426" s="31" t="str">
        <x:v>网站结构化接口</x:v>
      </x:c>
      <x:c r="N426" s="36" t="d">
        <x:v>2026-10-28T14:16:22.777Z</x:v>
      </x:c>
    </x:row>
    <x:row r="427">
      <x:c r="A427" s="36" t="d">
        <x:v>2026-03-02T00:00:00.000Z</x:v>
      </x:c>
      <x:c r="B427" s="48" t="n">
        <x:v>209.84</x:v>
      </x:c>
      <x:c r="C427" s="48" t="n">
        <x:v>143.67</x:v>
      </x:c>
      <x:c r="D427" s="48" t="n">
        <x:v>221.47</x:v>
      </x:c>
      <x:c r="E427" s="48" t="n">
        <x:v>157.36</x:v>
      </x:c>
      <x:c r="F427" s="48" t="n">
        <x:v>145.68</x:v>
      </x:c>
      <x:c r="G427" s="48" t="n">
        <x:v>81.66</x:v>
      </x:c>
      <x:c r="H427" s="49" t="n">
        <x:v>521313.35</x:v>
      </x:c>
      <x:c r="I427" s="49" t="n">
        <x:v>496462.18</x:v>
      </x:c>
      <x:c r="J427" s="48" t="n">
        <x:f>IF(COUNT(B427:C427)&lt;2,"",B427-C427)</x:f>
        <x:v>66.17000000000002</x:v>
      </x:c>
      <x:c r="K427" s="48" t="n">
        <x:f>IF(COUNT(D427,F427)&lt;2,"",D427-F427)</x:f>
        <x:v>75.78999999999999</x:v>
      </x:c>
      <x:c r="L427" s="48" t="n">
        <x:f>IF(COUNT(E427,G427)&lt;2,"",E427-G427)</x:f>
        <x:v>75.70000000000002</x:v>
      </x:c>
      <x:c r="M427" s="31" t="str">
        <x:v>网站结构化接口</x:v>
      </x:c>
      <x:c r="N427" s="36" t="d">
        <x:v>2026-10-28T14:16:22.777Z</x:v>
      </x:c>
    </x:row>
    <x:row r="428">
      <x:c r="A428" s="36" t="d">
        <x:v>2026-03-03T00:00:00.000Z</x:v>
      </x:c>
      <x:c r="B428" s="48" t="n">
        <x:v>202.86</x:v>
      </x:c>
      <x:c r="C428" s="48" t="n">
        <x:v>190.05</x:v>
      </x:c>
      <x:c r="D428" s="48" t="n">
        <x:v>232.22</x:v>
      </x:c>
      <x:c r="E428" s="48" t="n">
        <x:v>218.57</x:v>
      </x:c>
      <x:c r="F428" s="48" t="n">
        <x:v>106.45</x:v>
      </x:c>
      <x:c r="G428" s="48" t="n">
        <x:v>96.31</x:v>
      </x:c>
      <x:c r="H428" s="49" t="n">
        <x:v>498590.24</x:v>
      </x:c>
      <x:c r="I428" s="49" t="n">
        <x:v>495815.93</x:v>
      </x:c>
      <x:c r="J428" s="48" t="n">
        <x:f>IF(COUNT(B428:C428)&lt;2,"",B428-C428)</x:f>
        <x:v>12.810000000000002</x:v>
      </x:c>
      <x:c r="K428" s="48" t="n">
        <x:f>IF(COUNT(D428,F428)&lt;2,"",D428-F428)</x:f>
        <x:v>125.77</x:v>
      </x:c>
      <x:c r="L428" s="48" t="n">
        <x:f>IF(COUNT(E428,G428)&lt;2,"",E428-G428)</x:f>
        <x:v>122.25999999999999</x:v>
      </x:c>
      <x:c r="M428" s="31" t="str">
        <x:v>网站结构化接口</x:v>
      </x:c>
      <x:c r="N428" s="36" t="d">
        <x:v>2026-10-28T14:16:22.777Z</x:v>
      </x:c>
    </x:row>
    <x:row r="429">
      <x:c r="A429" s="36" t="d">
        <x:v>2026-03-04T00:00:00.000Z</x:v>
      </x:c>
      <x:c r="B429" s="48" t="n">
        <x:v>147.32</x:v>
      </x:c>
      <x:c r="C429" s="48" t="n">
        <x:v>124.31</x:v>
      </x:c>
      <x:c r="D429" s="48" t="n">
        <x:v>165.98</x:v>
      </x:c>
      <x:c r="E429" s="48" t="n">
        <x:v>139.84</x:v>
      </x:c>
      <x:c r="F429" s="48" t="n">
        <x:v>111</x:v>
      </x:c>
      <x:c r="G429" s="48" t="n">
        <x:v>92.24</x:v>
      </x:c>
      <x:c r="H429" s="49" t="n">
        <x:v>456482.38</x:v>
      </x:c>
      <x:c r="I429" s="49" t="n">
        <x:v>456033.69</x:v>
      </x:c>
      <x:c r="J429" s="48" t="n">
        <x:f>IF(COUNT(B429:C429)&lt;2,"",B429-C429)</x:f>
        <x:v>23.00999999999999</x:v>
      </x:c>
      <x:c r="K429" s="48" t="n">
        <x:f>IF(COUNT(D429,F429)&lt;2,"",D429-F429)</x:f>
        <x:v>54.97999999999999</x:v>
      </x:c>
      <x:c r="L429" s="48" t="n">
        <x:f>IF(COUNT(E429,G429)&lt;2,"",E429-G429)</x:f>
        <x:v>47.60000000000001</x:v>
      </x:c>
      <x:c r="M429" s="31" t="str">
        <x:v>网站结构化接口</x:v>
      </x:c>
      <x:c r="N429" s="36" t="d">
        <x:v>2026-10-28T14:16:22.777Z</x:v>
      </x:c>
    </x:row>
    <x:row r="430">
      <x:c r="A430" s="36" t="d">
        <x:v>2026-03-05T00:00:00.000Z</x:v>
      </x:c>
      <x:c r="B430" s="48" t="n">
        <x:v>289.59</x:v>
      </x:c>
      <x:c r="C430" s="48" t="n">
        <x:v>214.4</x:v>
      </x:c>
      <x:c r="D430" s="48" t="n">
        <x:v>348.04</x:v>
      </x:c>
      <x:c r="E430" s="48" t="n">
        <x:v>253.24</x:v>
      </x:c>
      <x:c r="F430" s="48" t="n">
        <x:v>155.19</x:v>
      </x:c>
      <x:c r="G430" s="48" t="n">
        <x:v>120.87</x:v>
      </x:c>
      <x:c r="H430" s="49" t="n">
        <x:v>461182.05</x:v>
      </x:c>
      <x:c r="I430" s="49" t="n">
        <x:v>433476.15</x:v>
      </x:c>
      <x:c r="J430" s="48" t="n">
        <x:f>IF(COUNT(B430:C430)&lt;2,"",B430-C430)</x:f>
        <x:v>75.18999999999997</x:v>
      </x:c>
      <x:c r="K430" s="48" t="n">
        <x:f>IF(COUNT(D430,F430)&lt;2,"",D430-F430)</x:f>
        <x:v>192.85000000000002</x:v>
      </x:c>
      <x:c r="L430" s="48" t="n">
        <x:f>IF(COUNT(E430,G430)&lt;2,"",E430-G430)</x:f>
        <x:v>132.37</x:v>
      </x:c>
      <x:c r="M430" s="31" t="str">
        <x:v>网站结构化接口</x:v>
      </x:c>
      <x:c r="N430" s="36" t="d">
        <x:v>2026-10-28T14:16:22.777Z</x:v>
      </x:c>
    </x:row>
    <x:row r="431">
      <x:c r="A431" s="36" t="d">
        <x:v>2026-03-06T00:00:00.000Z</x:v>
      </x:c>
      <x:c r="B431" s="48" t="n">
        <x:v>234.47</x:v>
      </x:c>
      <x:c r="C431" s="48" t="n">
        <x:v>223.62</x:v>
      </x:c>
      <x:c r="D431" s="48" t="n">
        <x:v>243.06</x:v>
      </x:c>
      <x:c r="E431" s="48" t="n">
        <x:v>240.76</x:v>
      </x:c>
      <x:c r="F431" s="48" t="n">
        <x:v>201.38</x:v>
      </x:c>
      <x:c r="G431" s="48" t="n">
        <x:v>165.92</x:v>
      </x:c>
      <x:c r="H431" s="49" t="n">
        <x:v>485453.98</x:v>
      </x:c>
      <x:c r="I431" s="49" t="n">
        <x:v>479369.57</x:v>
      </x:c>
      <x:c r="J431" s="48" t="n">
        <x:f>IF(COUNT(B431:C431)&lt;2,"",B431-C431)</x:f>
        <x:v>10.849999999999994</x:v>
      </x:c>
      <x:c r="K431" s="48" t="n">
        <x:f>IF(COUNT(D431,F431)&lt;2,"",D431-F431)</x:f>
        <x:v>41.68000000000001</x:v>
      </x:c>
      <x:c r="L431" s="48" t="n">
        <x:f>IF(COUNT(E431,G431)&lt;2,"",E431-G431)</x:f>
        <x:v>74.84</x:v>
      </x:c>
      <x:c r="M431" s="31" t="str">
        <x:v>网站结构化接口</x:v>
      </x:c>
      <x:c r="N431" s="36" t="d">
        <x:v>2026-10-28T14:16:22.777Z</x:v>
      </x:c>
    </x:row>
    <x:row r="432">
      <x:c r="A432" s="36" t="d">
        <x:v>2026-03-07T00:00:00.000Z</x:v>
      </x:c>
      <x:c r="B432" s="48" t="n">
        <x:v>268.72</x:v>
      </x:c>
      <x:c r="C432" s="48" t="n">
        <x:v>328.62</x:v>
      </x:c>
      <x:c r="D432" s="48" t="n">
        <x:v>273.5</x:v>
      </x:c>
      <x:c r="E432" s="48" t="n">
        <x:v>335.78</x:v>
      </x:c>
      <x:c r="F432" s="48" t="n">
        <x:v>249.04</x:v>
      </x:c>
      <x:c r="G432" s="48" t="n">
        <x:v>296.6</x:v>
      </x:c>
      <x:c r="H432" s="49" t="n">
        <x:v>499175.43</x:v>
      </x:c>
      <x:c r="I432" s="49" t="n">
        <x:v>519756.57</x:v>
      </x:c>
      <x:c r="J432" s="48" t="n">
        <x:f>IF(COUNT(B432:C432)&lt;2,"",B432-C432)</x:f>
        <x:v>-59.89999999999998</x:v>
      </x:c>
      <x:c r="K432" s="48" t="n">
        <x:f>IF(COUNT(D432,F432)&lt;2,"",D432-F432)</x:f>
        <x:v>24.460000000000008</x:v>
      </x:c>
      <x:c r="L432" s="48" t="n">
        <x:f>IF(COUNT(E432,G432)&lt;2,"",E432-G432)</x:f>
        <x:v>39.17999999999995</x:v>
      </x:c>
      <x:c r="M432" s="31" t="str">
        <x:v>网站结构化接口</x:v>
      </x:c>
      <x:c r="N432" s="36" t="d">
        <x:v>2026-10-28T14:16:22.777Z</x:v>
      </x:c>
    </x:row>
    <x:row r="433">
      <x:c r="A433" s="36" t="d">
        <x:v>2026-03-08T00:00:00.000Z</x:v>
      </x:c>
      <x:c r="B433" s="48" t="n">
        <x:v>323.32</x:v>
      </x:c>
      <x:c r="C433" s="48" t="n">
        <x:v>367.14</x:v>
      </x:c>
      <x:c r="D433" s="48" t="n">
        <x:v>333.09</x:v>
      </x:c>
      <x:c r="E433" s="48" t="n">
        <x:v>377.52</x:v>
      </x:c>
      <x:c r="F433" s="48" t="n">
        <x:v>274.94</x:v>
      </x:c>
      <x:c r="G433" s="48" t="n">
        <x:v>310.24</x:v>
      </x:c>
      <x:c r="H433" s="49" t="n">
        <x:v>522628.4</x:v>
      </x:c>
      <x:c r="I433" s="49" t="n">
        <x:v>530507.02</x:v>
      </x:c>
      <x:c r="J433" s="48" t="n">
        <x:f>IF(COUNT(B433:C433)&lt;2,"",B433-C433)</x:f>
        <x:v>-43.81999999999999</x:v>
      </x:c>
      <x:c r="K433" s="48" t="n">
        <x:f>IF(COUNT(D433,F433)&lt;2,"",D433-F433)</x:f>
        <x:v>58.14999999999998</x:v>
      </x:c>
      <x:c r="L433" s="48" t="n">
        <x:f>IF(COUNT(E433,G433)&lt;2,"",E433-G433)</x:f>
        <x:v>67.27999999999997</x:v>
      </x:c>
      <x:c r="M433" s="31" t="str">
        <x:v>网站结构化接口</x:v>
      </x:c>
      <x:c r="N433" s="36" t="d">
        <x:v>2026-10-28T14:16:22.777Z</x:v>
      </x:c>
    </x:row>
    <x:row r="434">
      <x:c r="A434" s="36" t="d">
        <x:v>2026-03-09T00:00:00.000Z</x:v>
      </x:c>
      <x:c r="B434" s="48" t="n">
        <x:v>206.34</x:v>
      </x:c>
      <x:c r="C434" s="48" t="n">
        <x:v>192.58</x:v>
      </x:c>
      <x:c r="D434" s="48" t="n">
        <x:v>257.66</x:v>
      </x:c>
      <x:c r="E434" s="48" t="n">
        <x:v>235.57</x:v>
      </x:c>
      <x:c r="F434" s="48" t="n">
        <x:v>68.82</x:v>
      </x:c>
      <x:c r="G434" s="48" t="n">
        <x:v>70.83</x:v>
      </x:c>
      <x:c r="H434" s="49" t="n">
        <x:v>451948.86</x:v>
      </x:c>
      <x:c r="I434" s="49" t="n">
        <x:v>452526.82</x:v>
      </x:c>
      <x:c r="J434" s="48" t="n">
        <x:f>IF(COUNT(B434:C434)&lt;2,"",B434-C434)</x:f>
        <x:v>13.759999999999991</x:v>
      </x:c>
      <x:c r="K434" s="48" t="n">
        <x:f>IF(COUNT(D434,F434)&lt;2,"",D434-F434)</x:f>
        <x:v>188.84000000000003</x:v>
      </x:c>
      <x:c r="L434" s="48" t="n">
        <x:f>IF(COUNT(E434,G434)&lt;2,"",E434-G434)</x:f>
        <x:v>164.74</x:v>
      </x:c>
      <x:c r="M434" s="31" t="str">
        <x:v>网站结构化接口</x:v>
      </x:c>
      <x:c r="N434" s="36" t="d">
        <x:v>2026-10-28T14:16:22.777Z</x:v>
      </x:c>
    </x:row>
    <x:row r="435">
      <x:c r="A435" s="36" t="d">
        <x:v>2026-03-10T00:00:00.000Z</x:v>
      </x:c>
      <x:c r="B435" s="48" t="n">
        <x:v>202.82</x:v>
      </x:c>
      <x:c r="C435" s="48" t="n">
        <x:v>135.27</x:v>
      </x:c>
      <x:c r="D435" s="48" t="n">
        <x:v>249.19</x:v>
      </x:c>
      <x:c r="E435" s="48" t="n">
        <x:v>158.14</x:v>
      </x:c>
      <x:c r="F435" s="48" t="n">
        <x:v>91.83</x:v>
      </x:c>
      <x:c r="G435" s="48" t="n">
        <x:v>85.4</x:v>
      </x:c>
      <x:c r="H435" s="49" t="n">
        <x:v>446849.04</x:v>
      </x:c>
      <x:c r="I435" s="49" t="n">
        <x:v>431106.01</x:v>
      </x:c>
      <x:c r="J435" s="48" t="n">
        <x:f>IF(COUNT(B435:C435)&lt;2,"",B435-C435)</x:f>
        <x:v>67.54999999999998</x:v>
      </x:c>
      <x:c r="K435" s="48" t="n">
        <x:f>IF(COUNT(D435,F435)&lt;2,"",D435-F435)</x:f>
        <x:v>157.36</x:v>
      </x:c>
      <x:c r="L435" s="48" t="n">
        <x:f>IF(COUNT(E435,G435)&lt;2,"",E435-G435)</x:f>
        <x:v>72.73999999999998</x:v>
      </x:c>
      <x:c r="M435" s="31" t="str">
        <x:v>网站结构化接口</x:v>
      </x:c>
      <x:c r="N435" s="36" t="d">
        <x:v>2026-10-28T14:16:22.777Z</x:v>
      </x:c>
    </x:row>
    <x:row r="436">
      <x:c r="A436" s="36" t="d">
        <x:v>2026-03-11T00:00:00.000Z</x:v>
      </x:c>
      <x:c r="B436" s="48" t="n">
        <x:v>252.61</x:v>
      </x:c>
      <x:c r="C436" s="48" t="n">
        <x:v>181.93</x:v>
      </x:c>
      <x:c r="D436" s="48" t="n">
        <x:v>314.9</x:v>
      </x:c>
      <x:c r="E436" s="48" t="n">
        <x:v>223.52</x:v>
      </x:c>
      <x:c r="F436" s="48" t="n">
        <x:v>113.49</x:v>
      </x:c>
      <x:c r="G436" s="48" t="n">
        <x:v>88</x:v>
      </x:c>
      <x:c r="H436" s="49" t="n">
        <x:v>443373.39</x:v>
      </x:c>
      <x:c r="I436" s="49" t="n">
        <x:v>425601.49</x:v>
      </x:c>
      <x:c r="J436" s="48" t="n">
        <x:f>IF(COUNT(B436:C436)&lt;2,"",B436-C436)</x:f>
        <x:v>70.68</x:v>
      </x:c>
      <x:c r="K436" s="48" t="n">
        <x:f>IF(COUNT(D436,F436)&lt;2,"",D436-F436)</x:f>
        <x:v>201.40999999999997</x:v>
      </x:c>
      <x:c r="L436" s="48" t="n">
        <x:f>IF(COUNT(E436,G436)&lt;2,"",E436-G436)</x:f>
        <x:v>135.52</x:v>
      </x:c>
      <x:c r="M436" s="31" t="str">
        <x:v>网站结构化接口</x:v>
      </x:c>
      <x:c r="N436" s="36" t="d">
        <x:v>2026-10-28T14:16:22.777Z</x:v>
      </x:c>
    </x:row>
    <x:row r="437">
      <x:c r="A437" s="36" t="d">
        <x:v>2026-03-12T00:00:00.000Z</x:v>
      </x:c>
      <x:c r="B437" s="48" t="n">
        <x:v>4.58</x:v>
      </x:c>
      <x:c r="C437" s="48" t="n">
        <x:v>19.06</x:v>
      </x:c>
      <x:c r="D437" s="48" t="n">
        <x:v>5.3</x:v>
      </x:c>
      <x:c r="E437" s="48" t="n">
        <x:v>21.66</x:v>
      </x:c>
      <x:c r="F437" s="48" t="n">
        <x:v>3.66</x:v>
      </x:c>
      <x:c r="G437" s="48" t="n">
        <x:v>15.06</x:v>
      </x:c>
      <x:c r="H437" s="49" t="n">
        <x:v>427291.36</x:v>
      </x:c>
      <x:c r="I437" s="49" t="n">
        <x:v>409692.31</x:v>
      </x:c>
      <x:c r="J437" s="48" t="n">
        <x:f>IF(COUNT(B437:C437)&lt;2,"",B437-C437)</x:f>
        <x:v>-14.479999999999999</x:v>
      </x:c>
      <x:c r="K437" s="48" t="n">
        <x:f>IF(COUNT(D437,F437)&lt;2,"",D437-F437)</x:f>
        <x:v>1.6399999999999997</x:v>
      </x:c>
      <x:c r="L437" s="48" t="n">
        <x:f>IF(COUNT(E437,G437)&lt;2,"",E437-G437)</x:f>
        <x:v>6.6</x:v>
      </x:c>
      <x:c r="M437" s="31" t="str">
        <x:v>网站结构化接口</x:v>
      </x:c>
      <x:c r="N437" s="36" t="d">
        <x:v>2026-10-28T14:16:22.777Z</x:v>
      </x:c>
    </x:row>
    <x:row r="438">
      <x:c r="A438" s="36" t="d">
        <x:v>2026-03-13T00:00:00.000Z</x:v>
      </x:c>
      <x:c r="B438" s="48" t="n">
        <x:v>225.02</x:v>
      </x:c>
      <x:c r="C438" s="48" t="n">
        <x:v>235.92</x:v>
      </x:c>
      <x:c r="D438" s="48" t="n">
        <x:v>227.36</x:v>
      </x:c>
      <x:c r="E438" s="48" t="n">
        <x:v>238.02</x:v>
      </x:c>
      <x:c r="F438" s="48" t="n">
        <x:v>214.47</x:v>
      </x:c>
      <x:c r="G438" s="48" t="n">
        <x:v>225.49</x:v>
      </x:c>
      <x:c r="H438" s="49" t="n">
        <x:v>482315.86</x:v>
      </x:c>
      <x:c r="I438" s="49" t="n">
        <x:v>480286.19</x:v>
      </x:c>
      <x:c r="J438" s="48" t="n">
        <x:f>IF(COUNT(B438:C438)&lt;2,"",B438-C438)</x:f>
        <x:v>-10.899999999999977</x:v>
      </x:c>
      <x:c r="K438" s="48" t="n">
        <x:f>IF(COUNT(D438,F438)&lt;2,"",D438-F438)</x:f>
        <x:v>12.890000000000015</x:v>
      </x:c>
      <x:c r="L438" s="48" t="n">
        <x:f>IF(COUNT(E438,G438)&lt;2,"",E438-G438)</x:f>
        <x:v>12.530000000000001</x:v>
      </x:c>
      <x:c r="M438" s="31" t="str">
        <x:v>网站结构化接口</x:v>
      </x:c>
      <x:c r="N438" s="36" t="d">
        <x:v>2026-10-28T14:16:22.777Z</x:v>
      </x:c>
    </x:row>
    <x:row r="439">
      <x:c r="A439" s="36" t="d">
        <x:v>2026-03-14T00:00:00.000Z</x:v>
      </x:c>
      <x:c r="B439" s="48" t="n">
        <x:v>209.79</x:v>
      </x:c>
      <x:c r="C439" s="48" t="n">
        <x:v>193.38</x:v>
      </x:c>
      <x:c r="D439" s="48" t="n">
        <x:v>230.68</x:v>
      </x:c>
      <x:c r="E439" s="48" t="n">
        <x:v>207.67</x:v>
      </x:c>
      <x:c r="F439" s="48" t="n">
        <x:v>134.26</x:v>
      </x:c>
      <x:c r="G439" s="48" t="n">
        <x:v>141.47</x:v>
      </x:c>
      <x:c r="H439" s="49" t="n">
        <x:v>478462.5</x:v>
      </x:c>
      <x:c r="I439" s="49" t="n">
        <x:v>472009.81</x:v>
      </x:c>
      <x:c r="J439" s="48" t="n">
        <x:f>IF(COUNT(B439:C439)&lt;2,"",B439-C439)</x:f>
        <x:v>16.409999999999997</x:v>
      </x:c>
      <x:c r="K439" s="48" t="n">
        <x:f>IF(COUNT(D439,F439)&lt;2,"",D439-F439)</x:f>
        <x:v>96.42000000000002</x:v>
      </x:c>
      <x:c r="L439" s="48" t="n">
        <x:f>IF(COUNT(E439,G439)&lt;2,"",E439-G439)</x:f>
        <x:v>66.19999999999999</x:v>
      </x:c>
      <x:c r="M439" s="31" t="str">
        <x:v>网站结构化接口</x:v>
      </x:c>
      <x:c r="N439" s="36" t="d">
        <x:v>2026-10-28T14:16:22.777Z</x:v>
      </x:c>
    </x:row>
    <x:row r="440">
      <x:c r="A440" s="36" t="d">
        <x:v>2026-03-15T00:00:00.000Z</x:v>
      </x:c>
      <x:c r="B440" s="48" t="n">
        <x:v>251.84</x:v>
      </x:c>
      <x:c r="C440" s="48" t="n">
        <x:v>215.66</x:v>
      </x:c>
      <x:c r="D440" s="48" t="n">
        <x:v>286.74</x:v>
      </x:c>
      <x:c r="E440" s="48" t="n">
        <x:v>246.02</x:v>
      </x:c>
      <x:c r="F440" s="48" t="n">
        <x:v>87.52</x:v>
      </x:c>
      <x:c r="G440" s="48" t="n">
        <x:v>92.1</x:v>
      </x:c>
      <x:c r="H440" s="49" t="n">
        <x:v>488597.05</x:v>
      </x:c>
      <x:c r="I440" s="49" t="n">
        <x:v>478381.66</x:v>
      </x:c>
      <x:c r="J440" s="48" t="n">
        <x:f>IF(COUNT(B440:C440)&lt;2,"",B440-C440)</x:f>
        <x:v>36.18000000000001</x:v>
      </x:c>
      <x:c r="K440" s="48" t="n">
        <x:f>IF(COUNT(D440,F440)&lt;2,"",D440-F440)</x:f>
        <x:v>199.22000000000003</x:v>
      </x:c>
      <x:c r="L440" s="48" t="n">
        <x:f>IF(COUNT(E440,G440)&lt;2,"",E440-G440)</x:f>
        <x:v>153.92000000000002</x:v>
      </x:c>
      <x:c r="M440" s="31" t="str">
        <x:v>网站结构化接口</x:v>
      </x:c>
      <x:c r="N440" s="36" t="d">
        <x:v>2026-10-28T14:16:22.777Z</x:v>
      </x:c>
    </x:row>
    <x:row r="441">
      <x:c r="A441" s="36" t="d">
        <x:v>2026-03-16T00:00:00.000Z</x:v>
      </x:c>
      <x:c r="B441" s="48" t="n">
        <x:v>246.65</x:v>
      </x:c>
      <x:c r="C441" s="48" t="n">
        <x:v>203.1</x:v>
      </x:c>
      <x:c r="D441" s="48" t="n">
        <x:v>293.33</x:v>
      </x:c>
      <x:c r="E441" s="48" t="n">
        <x:v>240.8</x:v>
      </x:c>
      <x:c r="F441" s="48" t="n">
        <x:v>103.68</x:v>
      </x:c>
      <x:c r="G441" s="48" t="n">
        <x:v>90.51</x:v>
      </x:c>
      <x:c r="H441" s="49" t="n">
        <x:v>478123.22</x:v>
      </x:c>
      <x:c r="I441" s="49" t="n">
        <x:v>463823.86</x:v>
      </x:c>
      <x:c r="J441" s="48" t="n">
        <x:f>IF(COUNT(B441:C441)&lt;2,"",B441-C441)</x:f>
        <x:v>43.55000000000001</x:v>
      </x:c>
      <x:c r="K441" s="48" t="n">
        <x:f>IF(COUNT(D441,F441)&lt;2,"",D441-F441)</x:f>
        <x:v>189.64999999999998</x:v>
      </x:c>
      <x:c r="L441" s="48" t="n">
        <x:f>IF(COUNT(E441,G441)&lt;2,"",E441-G441)</x:f>
        <x:v>150.29000000000002</x:v>
      </x:c>
      <x:c r="M441" s="31" t="str">
        <x:v>网站结构化接口</x:v>
      </x:c>
      <x:c r="N441" s="36" t="d">
        <x:v>2026-10-28T14:16:22.777Z</x:v>
      </x:c>
    </x:row>
    <x:row r="442">
      <x:c r="A442" s="36" t="d">
        <x:v>2026-03-17T00:00:00.000Z</x:v>
      </x:c>
      <x:c r="B442" s="48" t="n">
        <x:v>201.93</x:v>
      </x:c>
      <x:c r="C442" s="48" t="n">
        <x:v>235.22</x:v>
      </x:c>
      <x:c r="D442" s="48" t="n">
        <x:v>225.84</x:v>
      </x:c>
      <x:c r="E442" s="48" t="n">
        <x:v>260.66</x:v>
      </x:c>
      <x:c r="F442" s="48" t="n">
        <x:v>123.66</x:v>
      </x:c>
      <x:c r="G442" s="48" t="n">
        <x:v>137.62</x:v>
      </x:c>
      <x:c r="H442" s="49" t="n">
        <x:v>465131.41</x:v>
      </x:c>
      <x:c r="I442" s="49" t="n">
        <x:v>458575.35</x:v>
      </x:c>
      <x:c r="J442" s="48" t="n">
        <x:f>IF(COUNT(B442:C442)&lt;2,"",B442-C442)</x:f>
        <x:v>-33.28999999999999</x:v>
      </x:c>
      <x:c r="K442" s="48" t="n">
        <x:f>IF(COUNT(D442,F442)&lt;2,"",D442-F442)</x:f>
        <x:v>102.18</x:v>
      </x:c>
      <x:c r="L442" s="48" t="n">
        <x:f>IF(COUNT(E442,G442)&lt;2,"",E442-G442)</x:f>
        <x:v>123.04000000000002</x:v>
      </x:c>
      <x:c r="M442" s="31" t="str">
        <x:v>网站结构化接口</x:v>
      </x:c>
      <x:c r="N442" s="36" t="d">
        <x:v>2026-10-28T14:16:22.777Z</x:v>
      </x:c>
    </x:row>
    <x:row r="443">
      <x:c r="A443" s="36" t="d">
        <x:v>2026-03-18T00:00:00.000Z</x:v>
      </x:c>
      <x:c r="B443" s="48" t="n">
        <x:v>160.78</x:v>
      </x:c>
      <x:c r="C443" s="48" t="n">
        <x:v>139.39</x:v>
      </x:c>
      <x:c r="D443" s="48" t="n">
        <x:v>208.15</x:v>
      </x:c>
      <x:c r="E443" s="48" t="n">
        <x:v>187.11</x:v>
      </x:c>
      <x:c r="F443" s="48" t="n">
        <x:v>41.78</x:v>
      </x:c>
      <x:c r="G443" s="48" t="n">
        <x:v>21.64</x:v>
      </x:c>
      <x:c r="H443" s="49" t="n">
        <x:v>447128.85</x:v>
      </x:c>
      <x:c r="I443" s="49" t="n">
        <x:v>421467.71</x:v>
      </x:c>
      <x:c r="J443" s="48" t="n">
        <x:f>IF(COUNT(B443:C443)&lt;2,"",B443-C443)</x:f>
        <x:v>21.390000000000015</x:v>
      </x:c>
      <x:c r="K443" s="48" t="n">
        <x:f>IF(COUNT(D443,F443)&lt;2,"",D443-F443)</x:f>
        <x:v>166.37</x:v>
      </x:c>
      <x:c r="L443" s="48" t="n">
        <x:f>IF(COUNT(E443,G443)&lt;2,"",E443-G443)</x:f>
        <x:v>165.47000000000003</x:v>
      </x:c>
      <x:c r="M443" s="31" t="str">
        <x:v>网站结构化接口</x:v>
      </x:c>
      <x:c r="N443" s="36" t="d">
        <x:v>2026-10-28T14:16:22.777Z</x:v>
      </x:c>
    </x:row>
    <x:row r="444">
      <x:c r="A444" s="36" t="d">
        <x:v>2026-03-19T00:00:00.000Z</x:v>
      </x:c>
      <x:c r="B444" s="48" t="n">
        <x:v>275.03</x:v>
      </x:c>
      <x:c r="C444" s="48" t="n">
        <x:v>260.17</x:v>
      </x:c>
      <x:c r="D444" s="48" t="n">
        <x:v>320.5</x:v>
      </x:c>
      <x:c r="E444" s="48" t="n">
        <x:v>291.59</x:v>
      </x:c>
      <x:c r="F444" s="48" t="n">
        <x:v>107.62</x:v>
      </x:c>
      <x:c r="G444" s="48" t="n">
        <x:v>149.01</x:v>
      </x:c>
      <x:c r="H444" s="49" t="n">
        <x:v>455559.28</x:v>
      </x:c>
      <x:c r="I444" s="49" t="n">
        <x:v>464106.64</x:v>
      </x:c>
      <x:c r="J444" s="48" t="n">
        <x:f>IF(COUNT(B444:C444)&lt;2,"",B444-C444)</x:f>
        <x:v>14.859999999999957</x:v>
      </x:c>
      <x:c r="K444" s="48" t="n">
        <x:f>IF(COUNT(D444,F444)&lt;2,"",D444-F444)</x:f>
        <x:v>212.88</x:v>
      </x:c>
      <x:c r="L444" s="48" t="n">
        <x:f>IF(COUNT(E444,G444)&lt;2,"",E444-G444)</x:f>
        <x:v>142.57999999999998</x:v>
      </x:c>
      <x:c r="M444" s="31" t="str">
        <x:v>网站结构化接口</x:v>
      </x:c>
      <x:c r="N444" s="36" t="d">
        <x:v>2026-10-28T14:16:22.777Z</x:v>
      </x:c>
    </x:row>
    <x:row r="445">
      <x:c r="A445" s="36" t="d">
        <x:v>2026-03-20T00:00:00.000Z</x:v>
      </x:c>
      <x:c r="B445" s="48" t="n">
        <x:v>202.08</x:v>
      </x:c>
      <x:c r="C445" s="48" t="n">
        <x:v>192.02</x:v>
      </x:c>
      <x:c r="D445" s="48" t="n">
        <x:v>252.94</x:v>
      </x:c>
      <x:c r="E445" s="48" t="n">
        <x:v>235.81</x:v>
      </x:c>
      <x:c r="F445" s="48" t="n">
        <x:v>58.49</x:v>
      </x:c>
      <x:c r="G445" s="48" t="n">
        <x:v>63.31</x:v>
      </x:c>
      <x:c r="H445" s="49" t="n">
        <x:v>435232.88</x:v>
      </x:c>
      <x:c r="I445" s="49" t="n">
        <x:v>426968.75</x:v>
      </x:c>
      <x:c r="J445" s="48" t="n">
        <x:f>IF(COUNT(B445:C445)&lt;2,"",B445-C445)</x:f>
        <x:v>10.060000000000002</x:v>
      </x:c>
      <x:c r="K445" s="48" t="n">
        <x:f>IF(COUNT(D445,F445)&lt;2,"",D445-F445)</x:f>
        <x:v>194.45</x:v>
      </x:c>
      <x:c r="L445" s="48" t="n">
        <x:f>IF(COUNT(E445,G445)&lt;2,"",E445-G445)</x:f>
        <x:v>172.5</x:v>
      </x:c>
      <x:c r="M445" s="31" t="str">
        <x:v>网站结构化接口</x:v>
      </x:c>
      <x:c r="N445" s="36" t="d">
        <x:v>2026-10-28T14:16:22.777Z</x:v>
      </x:c>
    </x:row>
    <x:row r="446">
      <x:c r="A446" s="36" t="d">
        <x:v>2026-03-21T00:00:00.000Z</x:v>
      </x:c>
      <x:c r="B446" s="48" t="n">
        <x:v>69.83</x:v>
      </x:c>
      <x:c r="C446" s="48" t="n">
        <x:v>106.73</x:v>
      </x:c>
      <x:c r="D446" s="48" t="n">
        <x:v>90.53</x:v>
      </x:c>
      <x:c r="E446" s="48" t="n">
        <x:v>124.01</x:v>
      </x:c>
      <x:c r="F446" s="48" t="n">
        <x:v>33.7</x:v>
      </x:c>
      <x:c r="G446" s="48" t="n">
        <x:v>74.94</x:v>
      </x:c>
      <x:c r="H446" s="49" t="n">
        <x:v>409014.3</x:v>
      </x:c>
      <x:c r="I446" s="49" t="n">
        <x:v>415141.01</x:v>
      </x:c>
      <x:c r="J446" s="48" t="n">
        <x:f>IF(COUNT(B446:C446)&lt;2,"",B446-C446)</x:f>
        <x:v>-36.900000000000006</x:v>
      </x:c>
      <x:c r="K446" s="48" t="n">
        <x:f>IF(COUNT(D446,F446)&lt;2,"",D446-F446)</x:f>
        <x:v>56.83</x:v>
      </x:c>
      <x:c r="L446" s="48" t="n">
        <x:f>IF(COUNT(E446,G446)&lt;2,"",E446-G446)</x:f>
        <x:v>49.07000000000001</x:v>
      </x:c>
      <x:c r="M446" s="31" t="str">
        <x:v>网站结构化接口</x:v>
      </x:c>
      <x:c r="N446" s="36" t="d">
        <x:v>2026-10-28T14:16:22.777Z</x:v>
      </x:c>
    </x:row>
    <x:row r="447">
      <x:c r="A447" s="36" t="d">
        <x:v>2026-03-22T00:00:00.000Z</x:v>
      </x:c>
      <x:c r="B447" s="48" t="n">
        <x:v>184.09</x:v>
      </x:c>
      <x:c r="C447" s="48" t="n">
        <x:v>151.32</x:v>
      </x:c>
      <x:c r="D447" s="48" t="n">
        <x:v>222.87</x:v>
      </x:c>
      <x:c r="E447" s="48" t="n">
        <x:v>185.57</x:v>
      </x:c>
      <x:c r="F447" s="48" t="n">
        <x:v>92.51</x:v>
      </x:c>
      <x:c r="G447" s="48" t="n">
        <x:v>66.1</x:v>
      </x:c>
      <x:c r="H447" s="49" t="n">
        <x:v>418074.53</x:v>
      </x:c>
      <x:c r="I447" s="49" t="n">
        <x:v>404041.83</x:v>
      </x:c>
      <x:c r="J447" s="48" t="n">
        <x:f>IF(COUNT(B447:C447)&lt;2,"",B447-C447)</x:f>
        <x:v>32.77000000000001</x:v>
      </x:c>
      <x:c r="K447" s="48" t="n">
        <x:f>IF(COUNT(D447,F447)&lt;2,"",D447-F447)</x:f>
        <x:v>130.36</x:v>
      </x:c>
      <x:c r="L447" s="48" t="n">
        <x:f>IF(COUNT(E447,G447)&lt;2,"",E447-G447)</x:f>
        <x:v>119.47</x:v>
      </x:c>
      <x:c r="M447" s="31" t="str">
        <x:v>网站结构化接口</x:v>
      </x:c>
      <x:c r="N447" s="36" t="d">
        <x:v>2026-10-28T14:16:22.777Z</x:v>
      </x:c>
    </x:row>
    <x:row r="448">
      <x:c r="A448" s="36" t="d">
        <x:v>2026-03-23T00:00:00.000Z</x:v>
      </x:c>
      <x:c r="B448" s="48" t="n">
        <x:v>300.97</x:v>
      </x:c>
      <x:c r="C448" s="48" t="n">
        <x:v>258.64</x:v>
      </x:c>
      <x:c r="D448" s="48" t="n">
        <x:v>332.11</x:v>
      </x:c>
      <x:c r="E448" s="48" t="n">
        <x:v>290.98</x:v>
      </x:c>
      <x:c r="F448" s="48" t="n">
        <x:v>192.33</x:v>
      </x:c>
      <x:c r="G448" s="48" t="n">
        <x:v>149.22</x:v>
      </x:c>
      <x:c r="H448" s="49" t="n">
        <x:v>455866.54</x:v>
      </x:c>
      <x:c r="I448" s="49" t="n">
        <x:v>436108.72</x:v>
      </x:c>
      <x:c r="J448" s="48" t="n">
        <x:f>IF(COUNT(B448:C448)&lt;2,"",B448-C448)</x:f>
        <x:v>42.33000000000004</x:v>
      </x:c>
      <x:c r="K448" s="48" t="n">
        <x:f>IF(COUNT(D448,F448)&lt;2,"",D448-F448)</x:f>
        <x:v>139.78</x:v>
      </x:c>
      <x:c r="L448" s="48" t="n">
        <x:f>IF(COUNT(E448,G448)&lt;2,"",E448-G448)</x:f>
        <x:v>141.76000000000002</x:v>
      </x:c>
      <x:c r="M448" s="31" t="str">
        <x:v>网站结构化接口</x:v>
      </x:c>
      <x:c r="N448" s="36" t="d">
        <x:v>2026-10-28T14:16:22.777Z</x:v>
      </x:c>
    </x:row>
    <x:row r="449">
      <x:c r="A449" s="36" t="d">
        <x:v>2026-03-24T00:00:00.000Z</x:v>
      </x:c>
      <x:c r="B449" s="48" t="n">
        <x:v>151.15</x:v>
      </x:c>
      <x:c r="C449" s="48" t="n">
        <x:v>156.5</x:v>
      </x:c>
      <x:c r="D449" s="48" t="n">
        <x:v>187.25</x:v>
      </x:c>
      <x:c r="E449" s="48" t="n">
        <x:v>196.37</x:v>
      </x:c>
      <x:c r="F449" s="48" t="n">
        <x:v>46.1</x:v>
      </x:c>
      <x:c r="G449" s="48" t="n">
        <x:v>45.09</x:v>
      </x:c>
      <x:c r="H449" s="49" t="n">
        <x:v>448062.2</x:v>
      </x:c>
      <x:c r="I449" s="49" t="n">
        <x:v>430163.61</x:v>
      </x:c>
      <x:c r="J449" s="48" t="n">
        <x:f>IF(COUNT(B449:C449)&lt;2,"",B449-C449)</x:f>
        <x:v>-5.349999999999994</x:v>
      </x:c>
      <x:c r="K449" s="48" t="n">
        <x:f>IF(COUNT(D449,F449)&lt;2,"",D449-F449)</x:f>
        <x:v>141.15</x:v>
      </x:c>
      <x:c r="L449" s="48" t="n">
        <x:f>IF(COUNT(E449,G449)&lt;2,"",E449-G449)</x:f>
        <x:v>151.28</x:v>
      </x:c>
      <x:c r="M449" s="31" t="str">
        <x:v>网站结构化接口</x:v>
      </x:c>
      <x:c r="N449" s="36" t="d">
        <x:v>2026-10-28T14:16:22.777Z</x:v>
      </x:c>
    </x:row>
    <x:row r="450">
      <x:c r="A450" s="36" t="d">
        <x:v>2026-03-25T00:00:00.000Z</x:v>
      </x:c>
      <x:c r="B450" s="48" t="n">
        <x:v>236.75</x:v>
      </x:c>
      <x:c r="C450" s="48" t="n">
        <x:v>265.76</x:v>
      </x:c>
      <x:c r="D450" s="48" t="n">
        <x:v>262.48</x:v>
      </x:c>
      <x:c r="E450" s="48" t="n">
        <x:v>283.16</x:v>
      </x:c>
      <x:c r="F450" s="48" t="n">
        <x:v>133.28</x:v>
      </x:c>
      <x:c r="G450" s="48" t="n">
        <x:v>194.53</x:v>
      </x:c>
      <x:c r="H450" s="49" t="n">
        <x:v>444206.5</x:v>
      </x:c>
      <x:c r="I450" s="49" t="n">
        <x:v>452752.67</x:v>
      </x:c>
      <x:c r="J450" s="48" t="n">
        <x:f>IF(COUNT(B450:C450)&lt;2,"",B450-C450)</x:f>
        <x:v>-29.00999999999999</x:v>
      </x:c>
      <x:c r="K450" s="48" t="n">
        <x:f>IF(COUNT(D450,F450)&lt;2,"",D450-F450)</x:f>
        <x:v>129.20000000000002</x:v>
      </x:c>
      <x:c r="L450" s="48" t="n">
        <x:f>IF(COUNT(E450,G450)&lt;2,"",E450-G450)</x:f>
        <x:v>88.63000000000002</x:v>
      </x:c>
      <x:c r="M450" s="31" t="str">
        <x:v>网站结构化接口</x:v>
      </x:c>
      <x:c r="N450" s="36" t="d">
        <x:v>2026-10-28T14:16:22.777Z</x:v>
      </x:c>
    </x:row>
    <x:row r="451">
      <x:c r="A451" s="36" t="d">
        <x:v>2026-03-26T00:00:00.000Z</x:v>
      </x:c>
      <x:c r="B451" s="48" t="n">
        <x:v>260.28</x:v>
      </x:c>
      <x:c r="C451" s="48" t="n">
        <x:v>251.33</x:v>
      </x:c>
      <x:c r="D451" s="48" t="n">
        <x:v>297.78</x:v>
      </x:c>
      <x:c r="E451" s="48" t="n">
        <x:v>271.32</x:v>
      </x:c>
      <x:c r="F451" s="48" t="n">
        <x:v>109.74</x:v>
      </x:c>
      <x:c r="G451" s="48" t="n">
        <x:v>169.1</x:v>
      </x:c>
      <x:c r="H451" s="49" t="n">
        <x:v>434835.54</x:v>
      </x:c>
      <x:c r="I451" s="49" t="n">
        <x:v>443709.42</x:v>
      </x:c>
      <x:c r="J451" s="48" t="n">
        <x:f>IF(COUNT(B451:C451)&lt;2,"",B451-C451)</x:f>
        <x:v>8.94999999999996</x:v>
      </x:c>
      <x:c r="K451" s="48" t="n">
        <x:f>IF(COUNT(D451,F451)&lt;2,"",D451-F451)</x:f>
        <x:v>188.03999999999996</x:v>
      </x:c>
      <x:c r="L451" s="48" t="n">
        <x:f>IF(COUNT(E451,G451)&lt;2,"",E451-G451)</x:f>
        <x:v>102.22</x:v>
      </x:c>
      <x:c r="M451" s="31" t="str">
        <x:v>网站结构化接口</x:v>
      </x:c>
      <x:c r="N451" s="36" t="d">
        <x:v>2026-10-28T14:16:22.777Z</x:v>
      </x:c>
    </x:row>
    <x:row r="452">
      <x:c r="A452" s="36" t="d">
        <x:v>2026-03-27T00:00:00.000Z</x:v>
      </x:c>
      <x:c r="B452" s="48" t="n">
        <x:v>187.56</x:v>
      </x:c>
      <x:c r="C452" s="48" t="n">
        <x:v>258.93</x:v>
      </x:c>
      <x:c r="D452" s="48" t="n">
        <x:v>231.36</x:v>
      </x:c>
      <x:c r="E452" s="48" t="n">
        <x:v>321.9</x:v>
      </x:c>
      <x:c r="F452" s="48" t="n">
        <x:v>82.97</x:v>
      </x:c>
      <x:c r="G452" s="48" t="n">
        <x:v>101.24</x:v>
      </x:c>
      <x:c r="H452" s="49" t="n">
        <x:v>416319.96</x:v>
      </x:c>
      <x:c r="I452" s="49" t="n">
        <x:v>414828.9</x:v>
      </x:c>
      <x:c r="J452" s="48" t="n">
        <x:f>IF(COUNT(B452:C452)&lt;2,"",B452-C452)</x:f>
        <x:v>-71.37</x:v>
      </x:c>
      <x:c r="K452" s="48" t="n">
        <x:f>IF(COUNT(D452,F452)&lt;2,"",D452-F452)</x:f>
        <x:v>148.39000000000001</x:v>
      </x:c>
      <x:c r="L452" s="48" t="n">
        <x:f>IF(COUNT(E452,G452)&lt;2,"",E452-G452)</x:f>
        <x:v>220.65999999999997</x:v>
      </x:c>
      <x:c r="M452" s="31" t="str">
        <x:v>网站结构化接口</x:v>
      </x:c>
      <x:c r="N452" s="36" t="d">
        <x:v>2026-10-28T14:16:22.777Z</x:v>
      </x:c>
    </x:row>
    <x:row r="453">
      <x:c r="A453" s="36" t="d">
        <x:v>2026-03-28T00:00:00.000Z</x:v>
      </x:c>
      <x:c r="B453" s="48" t="n">
        <x:v>121.7</x:v>
      </x:c>
      <x:c r="C453" s="48" t="n">
        <x:v>148.84</x:v>
      </x:c>
      <x:c r="D453" s="48" t="n">
        <x:v>160.02</x:v>
      </x:c>
      <x:c r="E453" s="48" t="n">
        <x:v>190.19</x:v>
      </x:c>
      <x:c r="F453" s="48" t="n">
        <x:v>48.86</x:v>
      </x:c>
      <x:c r="G453" s="48" t="n">
        <x:v>70.01</x:v>
      </x:c>
      <x:c r="H453" s="49" t="n">
        <x:v>399473.65</x:v>
      </x:c>
      <x:c r="I453" s="49" t="n">
        <x:v>415015.46</x:v>
      </x:c>
      <x:c r="J453" s="48" t="n">
        <x:f>IF(COUNT(B453:C453)&lt;2,"",B453-C453)</x:f>
        <x:v>-27.14</x:v>
      </x:c>
      <x:c r="K453" s="48" t="n">
        <x:f>IF(COUNT(D453,F453)&lt;2,"",D453-F453)</x:f>
        <x:v>111.16000000000001</x:v>
      </x:c>
      <x:c r="L453" s="48" t="n">
        <x:f>IF(COUNT(E453,G453)&lt;2,"",E453-G453)</x:f>
        <x:v>120.17999999999999</x:v>
      </x:c>
      <x:c r="M453" s="31" t="str">
        <x:v>网站结构化接口</x:v>
      </x:c>
      <x:c r="N453" s="36" t="d">
        <x:v>2026-10-28T14:16:22.777Z</x:v>
      </x:c>
    </x:row>
    <x:row r="454">
      <x:c r="A454" s="36" t="d">
        <x:v>2026-03-29T00:00:00.000Z</x:v>
      </x:c>
      <x:c r="B454" s="48" t="n">
        <x:v>242.07</x:v>
      </x:c>
      <x:c r="C454" s="48" t="n">
        <x:v>356.08</x:v>
      </x:c>
      <x:c r="D454" s="48" t="n">
        <x:v>280.64</x:v>
      </x:c>
      <x:c r="E454" s="48" t="n">
        <x:v>394.78</x:v>
      </x:c>
      <x:c r="F454" s="48" t="n">
        <x:v>111.41</x:v>
      </x:c>
      <x:c r="G454" s="48" t="n">
        <x:v>207.09</x:v>
      </x:c>
      <x:c r="H454" s="49" t="n">
        <x:v>407970.62</x:v>
      </x:c>
      <x:c r="I454" s="49" t="n">
        <x:v>435303.1</x:v>
      </x:c>
      <x:c r="J454" s="48" t="n">
        <x:f>IF(COUNT(B454:C454)&lt;2,"",B454-C454)</x:f>
        <x:v>-114.00999999999999</x:v>
      </x:c>
      <x:c r="K454" s="48" t="n">
        <x:f>IF(COUNT(D454,F454)&lt;2,"",D454-F454)</x:f>
        <x:v>169.23</x:v>
      </x:c>
      <x:c r="L454" s="48" t="n">
        <x:f>IF(COUNT(E454,G454)&lt;2,"",E454-G454)</x:f>
        <x:v>187.68999999999997</x:v>
      </x:c>
      <x:c r="M454" s="31" t="str">
        <x:v>网站结构化接口</x:v>
      </x:c>
      <x:c r="N454" s="36" t="d">
        <x:v>2026-10-28T14:16:22.777Z</x:v>
      </x:c>
    </x:row>
    <x:row r="455">
      <x:c r="A455" s="36" t="d">
        <x:v>2026-03-30T00:00:00.000Z</x:v>
      </x:c>
      <x:c r="B455" s="48" t="n">
        <x:v>241.63</x:v>
      </x:c>
      <x:c r="C455" s="48" t="n">
        <x:v>233.49</x:v>
      </x:c>
      <x:c r="D455" s="48" t="n">
        <x:v>265.93</x:v>
      </x:c>
      <x:c r="E455" s="48" t="n">
        <x:v>254.08</x:v>
      </x:c>
      <x:c r="F455" s="48" t="n">
        <x:v>152.36</x:v>
      </x:c>
      <x:c r="G455" s="48" t="n">
        <x:v>166.62</x:v>
      </x:c>
      <x:c r="H455" s="49" t="n">
        <x:v>413369.7</x:v>
      </x:c>
      <x:c r="I455" s="49" t="n">
        <x:v>419522.32</x:v>
      </x:c>
      <x:c r="J455" s="48" t="n">
        <x:f>IF(COUNT(B455:C455)&lt;2,"",B455-C455)</x:f>
        <x:v>8.139999999999986</x:v>
      </x:c>
      <x:c r="K455" s="48" t="n">
        <x:f>IF(COUNT(D455,F455)&lt;2,"",D455-F455)</x:f>
        <x:v>113.57</x:v>
      </x:c>
      <x:c r="L455" s="48" t="n">
        <x:f>IF(COUNT(E455,G455)&lt;2,"",E455-G455)</x:f>
        <x:v>87.46000000000001</x:v>
      </x:c>
      <x:c r="M455" s="31" t="str">
        <x:v>网站结构化接口</x:v>
      </x:c>
      <x:c r="N455" s="36" t="d">
        <x:v>2026-10-28T14:16:22.777Z</x:v>
      </x:c>
    </x:row>
    <x:row r="456">
      <x:c r="A456" s="36" t="d">
        <x:v>2026-03-31T00:00:00.000Z</x:v>
      </x:c>
      <x:c r="B456" s="48" t="n">
        <x:v>182.55</x:v>
      </x:c>
      <x:c r="C456" s="48" t="n">
        <x:v>169.35</x:v>
      </x:c>
      <x:c r="D456" s="48" t="n">
        <x:v>227.28</x:v>
      </x:c>
      <x:c r="E456" s="48" t="n">
        <x:v>208.15</x:v>
      </x:c>
      <x:c r="F456" s="48" t="n">
        <x:v>67.76</x:v>
      </x:c>
      <x:c r="G456" s="48" t="n">
        <x:v>66.65</x:v>
      </x:c>
      <x:c r="H456" s="49" t="n">
        <x:v>389456.63</x:v>
      </x:c>
      <x:c r="I456" s="49" t="n">
        <x:v>372778.99</x:v>
      </x:c>
      <x:c r="J456" s="48" t="n">
        <x:f>IF(COUNT(B456:C456)&lt;2,"",B456-C456)</x:f>
        <x:v>13.200000000000017</x:v>
      </x:c>
      <x:c r="K456" s="48" t="n">
        <x:f>IF(COUNT(D456,F456)&lt;2,"",D456-F456)</x:f>
        <x:v>159.51999999999998</x:v>
      </x:c>
      <x:c r="L456" s="48" t="n">
        <x:f>IF(COUNT(E456,G456)&lt;2,"",E456-G456)</x:f>
        <x:v>141.5</x:v>
      </x:c>
      <x:c r="M456" s="31" t="str">
        <x:v>网站结构化接口</x:v>
      </x:c>
      <x:c r="N456" s="36" t="d">
        <x:v>2026-10-28T14:16:22.777Z</x:v>
      </x:c>
    </x:row>
    <x:row r="457">
      <x:c r="A457" s="36" t="d">
        <x:v>2026-04-01T00:00:00.000Z</x:v>
      </x:c>
      <x:c r="B457" s="48" t="n">
        <x:v>151.13</x:v>
      </x:c>
      <x:c r="C457" s="48" t="n">
        <x:v>121.55</x:v>
      </x:c>
      <x:c r="D457" s="48" t="n">
        <x:v>194.24</x:v>
      </x:c>
      <x:c r="E457" s="48" t="n">
        <x:v>155.63</x:v>
      </x:c>
      <x:c r="F457" s="48" t="n">
        <x:v>53.43</x:v>
      </x:c>
      <x:c r="G457" s="48" t="n">
        <x:v>45.9</x:v>
      </x:c>
      <x:c r="H457" s="49" t="n">
        <x:v>389669.19</x:v>
      </x:c>
      <x:c r="I457" s="49" t="n">
        <x:v>373831.73</x:v>
      </x:c>
      <x:c r="J457" s="48" t="n">
        <x:f>IF(COUNT(B457:C457)&lt;2,"",B457-C457)</x:f>
        <x:v>29.58</x:v>
      </x:c>
      <x:c r="K457" s="48" t="n">
        <x:f>IF(COUNT(D457,F457)&lt;2,"",D457-F457)</x:f>
        <x:v>140.81</x:v>
      </x:c>
      <x:c r="L457" s="48" t="n">
        <x:f>IF(COUNT(E457,G457)&lt;2,"",E457-G457)</x:f>
        <x:v>109.72999999999999</x:v>
      </x:c>
      <x:c r="M457" s="31" t="str">
        <x:v>网站结构化接口</x:v>
      </x:c>
      <x:c r="N457" s="36" t="d">
        <x:v>2026-10-28T14:16:22.777Z</x:v>
      </x:c>
    </x:row>
    <x:row r="458">
      <x:c r="A458" s="36" t="d">
        <x:v>2026-04-02T00:00:00.000Z</x:v>
      </x:c>
      <x:c r="B458" s="48" t="n">
        <x:v>111.36</x:v>
      </x:c>
      <x:c r="C458" s="48" t="n">
        <x:v>26.35</x:v>
      </x:c>
      <x:c r="D458" s="48" t="n">
        <x:v>139.48</x:v>
      </x:c>
      <x:c r="E458" s="48" t="n">
        <x:v>34.93</x:v>
      </x:c>
      <x:c r="F458" s="48" t="n">
        <x:v>48.89</x:v>
      </x:c>
      <x:c r="G458" s="48" t="n">
        <x:v>11.83</x:v>
      </x:c>
      <x:c r="H458" s="49" t="n">
        <x:v>380013.91</x:v>
      </x:c>
      <x:c r="I458" s="49" t="n">
        <x:v>368904.54</x:v>
      </x:c>
      <x:c r="J458" s="48" t="n">
        <x:f>IF(COUNT(B458:C458)&lt;2,"",B458-C458)</x:f>
        <x:v>85.00999999999999</x:v>
      </x:c>
      <x:c r="K458" s="48" t="n">
        <x:f>IF(COUNT(D458,F458)&lt;2,"",D458-F458)</x:f>
        <x:v>90.58999999999999</x:v>
      </x:c>
      <x:c r="L458" s="48" t="n">
        <x:f>IF(COUNT(E458,G458)&lt;2,"",E458-G458)</x:f>
        <x:v>23.1</x:v>
      </x:c>
      <x:c r="M458" s="31" t="str">
        <x:v>网站结构化接口</x:v>
      </x:c>
      <x:c r="N458" s="36" t="d">
        <x:v>2026-10-28T14:16:22.777Z</x:v>
      </x:c>
    </x:row>
    <x:row r="459">
      <x:c r="A459" s="36" t="d">
        <x:v>2026-04-03T00:00:00.000Z</x:v>
      </x:c>
      <x:c r="B459" s="48" t="n">
        <x:v>67.19</x:v>
      </x:c>
      <x:c r="C459" s="48" t="n">
        <x:v>125.35</x:v>
      </x:c>
      <x:c r="D459" s="48" t="n">
        <x:v>103.11</x:v>
      </x:c>
      <x:c r="E459" s="48" t="n">
        <x:v>181.93</x:v>
      </x:c>
      <x:c r="F459" s="48" t="n">
        <x:v>15.97</x:v>
      </x:c>
      <x:c r="G459" s="48" t="n">
        <x:v>30.48</x:v>
      </x:c>
      <x:c r="H459" s="49" t="n">
        <x:v>359582.27</x:v>
      </x:c>
      <x:c r="I459" s="49" t="n">
        <x:v>359512.07</x:v>
      </x:c>
      <x:c r="J459" s="48" t="n">
        <x:f>IF(COUNT(B459:C459)&lt;2,"",B459-C459)</x:f>
        <x:v>-58.16</x:v>
      </x:c>
      <x:c r="K459" s="48" t="n">
        <x:f>IF(COUNT(D459,F459)&lt;2,"",D459-F459)</x:f>
        <x:v>87.14</x:v>
      </x:c>
      <x:c r="L459" s="48" t="n">
        <x:f>IF(COUNT(E459,G459)&lt;2,"",E459-G459)</x:f>
        <x:v>151.45000000000002</x:v>
      </x:c>
      <x:c r="M459" s="31" t="str">
        <x:v>网站结构化接口</x:v>
      </x:c>
      <x:c r="N459" s="36" t="d">
        <x:v>2026-10-28T14:16:22.777Z</x:v>
      </x:c>
    </x:row>
    <x:row r="460">
      <x:c r="A460" s="36" t="d">
        <x:v>2026-04-04T00:00:00.000Z</x:v>
      </x:c>
      <x:c r="B460" s="48" t="n">
        <x:v>31.47</x:v>
      </x:c>
      <x:c r="C460" s="48" t="n">
        <x:v>52.75</x:v>
      </x:c>
      <x:c r="D460" s="48" t="n">
        <x:v>43.63</x:v>
      </x:c>
      <x:c r="E460" s="48" t="n">
        <x:v>75.56</x:v>
      </x:c>
      <x:c r="F460" s="48" t="n">
        <x:v>12.24</x:v>
      </x:c>
      <x:c r="G460" s="48" t="n">
        <x:v>20.42</x:v>
      </x:c>
      <x:c r="H460" s="49" t="n">
        <x:v>341497.13</x:v>
      </x:c>
      <x:c r="I460" s="49" t="n">
        <x:v>352214.87</x:v>
      </x:c>
      <x:c r="J460" s="48" t="n">
        <x:f>IF(COUNT(B460:C460)&lt;2,"",B460-C460)</x:f>
        <x:v>-21.28</x:v>
      </x:c>
      <x:c r="K460" s="48" t="n">
        <x:f>IF(COUNT(D460,F460)&lt;2,"",D460-F460)</x:f>
        <x:v>31.39</x:v>
      </x:c>
      <x:c r="L460" s="48" t="n">
        <x:f>IF(COUNT(E460,G460)&lt;2,"",E460-G460)</x:f>
        <x:v>55.14</x:v>
      </x:c>
      <x:c r="M460" s="31" t="str">
        <x:v>网站结构化接口</x:v>
      </x:c>
      <x:c r="N460" s="36" t="d">
        <x:v>2026-10-28T14:16:22.777Z</x:v>
      </x:c>
    </x:row>
    <x:row r="461">
      <x:c r="A461" s="36" t="d">
        <x:v>2026-04-05T00:00:00.000Z</x:v>
      </x:c>
      <x:c r="B461" s="48" t="n">
        <x:v>112.25</x:v>
      </x:c>
      <x:c r="C461" s="48" t="n">
        <x:v>55.23</x:v>
      </x:c>
      <x:c r="D461" s="48" t="n">
        <x:v>149.58</x:v>
      </x:c>
      <x:c r="E461" s="48" t="n">
        <x:v>75.17</x:v>
      </x:c>
      <x:c r="F461" s="48" t="n">
        <x:v>55.59</x:v>
      </x:c>
      <x:c r="G461" s="48" t="n">
        <x:v>26.72</x:v>
      </x:c>
      <x:c r="H461" s="49" t="n">
        <x:v>339060.65</x:v>
      </x:c>
      <x:c r="I461" s="49" t="n">
        <x:v>338702.45</x:v>
      </x:c>
      <x:c r="J461" s="48" t="n">
        <x:f>IF(COUNT(B461:C461)&lt;2,"",B461-C461)</x:f>
        <x:v>57.02</x:v>
      </x:c>
      <x:c r="K461" s="48" t="n">
        <x:f>IF(COUNT(D461,F461)&lt;2,"",D461-F461)</x:f>
        <x:v>93.99000000000001</x:v>
      </x:c>
      <x:c r="L461" s="48" t="n">
        <x:f>IF(COUNT(E461,G461)&lt;2,"",E461-G461)</x:f>
        <x:v>48.45</x:v>
      </x:c>
      <x:c r="M461" s="31" t="str">
        <x:v>网站结构化接口</x:v>
      </x:c>
      <x:c r="N461" s="36" t="d">
        <x:v>2026-10-28T14:16:22.777Z</x:v>
      </x:c>
    </x:row>
    <x:row r="462">
      <x:c r="A462" s="36" t="d">
        <x:v>2026-04-06T00:00:00.000Z</x:v>
      </x:c>
      <x:c r="B462" s="48" t="n">
        <x:v>119.77</x:v>
      </x:c>
      <x:c r="C462" s="48" t="n">
        <x:v>115.95</x:v>
      </x:c>
      <x:c r="D462" s="48" t="n">
        <x:v>159.24</x:v>
      </x:c>
      <x:c r="E462" s="48" t="n">
        <x:v>156.03</x:v>
      </x:c>
      <x:c r="F462" s="48" t="n">
        <x:v>38.71</x:v>
      </x:c>
      <x:c r="G462" s="48" t="n">
        <x:v>37.77</x:v>
      </x:c>
      <x:c r="H462" s="49" t="n">
        <x:v>342901.5</x:v>
      </x:c>
      <x:c r="I462" s="49" t="n">
        <x:v>349074.39</x:v>
      </x:c>
      <x:c r="J462" s="48" t="n">
        <x:f>IF(COUNT(B462:C462)&lt;2,"",B462-C462)</x:f>
        <x:v>3.819999999999993</x:v>
      </x:c>
      <x:c r="K462" s="48" t="n">
        <x:f>IF(COUNT(D462,F462)&lt;2,"",D462-F462)</x:f>
        <x:v>120.53</x:v>
      </x:c>
      <x:c r="L462" s="48" t="n">
        <x:f>IF(COUNT(E462,G462)&lt;2,"",E462-G462)</x:f>
        <x:v>118.25999999999999</x:v>
      </x:c>
      <x:c r="M462" s="31" t="str">
        <x:v>网站结构化接口</x:v>
      </x:c>
      <x:c r="N462" s="36" t="d">
        <x:v>2026-10-28T14:16:22.777Z</x:v>
      </x:c>
    </x:row>
    <x:row r="463">
      <x:c r="A463" s="36" t="d">
        <x:v>2026-04-07T00:00:00.000Z</x:v>
      </x:c>
      <x:c r="B463" s="48" t="n">
        <x:v>60.55</x:v>
      </x:c>
      <x:c r="C463" s="48" t="n">
        <x:v>48.28</x:v>
      </x:c>
      <x:c r="D463" s="48" t="n">
        <x:v>92.32</x:v>
      </x:c>
      <x:c r="E463" s="48" t="n">
        <x:v>70.8</x:v>
      </x:c>
      <x:c r="F463" s="48" t="n">
        <x:v>20.69</x:v>
      </x:c>
      <x:c r="G463" s="48" t="n">
        <x:v>20.05</x:v>
      </x:c>
      <x:c r="H463" s="49" t="n">
        <x:v>347613.85</x:v>
      </x:c>
      <x:c r="I463" s="49" t="n">
        <x:v>353788.17</x:v>
      </x:c>
      <x:c r="J463" s="48" t="n">
        <x:f>IF(COUNT(B463:C463)&lt;2,"",B463-C463)</x:f>
        <x:v>12.269999999999996</x:v>
      </x:c>
      <x:c r="K463" s="48" t="n">
        <x:f>IF(COUNT(D463,F463)&lt;2,"",D463-F463)</x:f>
        <x:v>71.63</x:v>
      </x:c>
      <x:c r="L463" s="48" t="n">
        <x:f>IF(COUNT(E463,G463)&lt;2,"",E463-G463)</x:f>
        <x:v>50.75</x:v>
      </x:c>
      <x:c r="M463" s="31" t="str">
        <x:v>网站结构化接口</x:v>
      </x:c>
      <x:c r="N463" s="36" t="d">
        <x:v>2026-10-28T14:16:22.777Z</x:v>
      </x:c>
    </x:row>
    <x:row r="464">
      <x:c r="A464" s="36" t="d">
        <x:v>2026-04-08T00:00:00.000Z</x:v>
      </x:c>
      <x:c r="B464" s="48" t="n">
        <x:v>319.97</x:v>
      </x:c>
      <x:c r="C464" s="48" t="n">
        <x:v>199.64</x:v>
      </x:c>
      <x:c r="D464" s="48" t="n">
        <x:v>367.1</x:v>
      </x:c>
      <x:c r="E464" s="48" t="n">
        <x:v>217.62</x:v>
      </x:c>
      <x:c r="F464" s="48" t="n">
        <x:v>213.57</x:v>
      </x:c>
      <x:c r="G464" s="48" t="n">
        <x:v>161.69</x:v>
      </x:c>
      <x:c r="H464" s="49" t="n">
        <x:v>375957.75</x:v>
      </x:c>
      <x:c r="I464" s="49" t="n">
        <x:v>361131.42</x:v>
      </x:c>
      <x:c r="J464" s="48" t="n">
        <x:f>IF(COUNT(B464:C464)&lt;2,"",B464-C464)</x:f>
        <x:v>120.33000000000004</x:v>
      </x:c>
      <x:c r="K464" s="48" t="n">
        <x:f>IF(COUNT(D464,F464)&lt;2,"",D464-F464)</x:f>
        <x:v>153.53000000000003</x:v>
      </x:c>
      <x:c r="L464" s="48" t="n">
        <x:f>IF(COUNT(E464,G464)&lt;2,"",E464-G464)</x:f>
        <x:v>55.93000000000001</x:v>
      </x:c>
      <x:c r="M464" s="31" t="str">
        <x:v>网站结构化接口</x:v>
      </x:c>
      <x:c r="N464" s="36" t="d">
        <x:v>2026-10-28T14:16:22.777Z</x:v>
      </x:c>
    </x:row>
    <x:row r="465">
      <x:c r="A465" s="36" t="d">
        <x:v>2026-04-09T00:00:00.000Z</x:v>
      </x:c>
      <x:c r="B465" s="48" t="n">
        <x:v>265.36</x:v>
      </x:c>
      <x:c r="C465" s="48" t="n">
        <x:v>286.4</x:v>
      </x:c>
      <x:c r="D465" s="48" t="n">
        <x:v>357.46</x:v>
      </x:c>
      <x:c r="E465" s="48" t="n">
        <x:v>370.3</x:v>
      </x:c>
      <x:c r="F465" s="48" t="n">
        <x:v>130.9</x:v>
      </x:c>
      <x:c r="G465" s="48" t="n">
        <x:v>145.59</x:v>
      </x:c>
      <x:c r="H465" s="49" t="n">
        <x:v>369531.35</x:v>
      </x:c>
      <x:c r="I465" s="49" t="n">
        <x:v>356629.34</x:v>
      </x:c>
      <x:c r="J465" s="48" t="n">
        <x:f>IF(COUNT(B465:C465)&lt;2,"",B465-C465)</x:f>
        <x:v>-21.039999999999964</x:v>
      </x:c>
      <x:c r="K465" s="48" t="n">
        <x:f>IF(COUNT(D465,F465)&lt;2,"",D465-F465)</x:f>
        <x:v>226.55999999999997</x:v>
      </x:c>
      <x:c r="L465" s="48" t="n">
        <x:f>IF(COUNT(E465,G465)&lt;2,"",E465-G465)</x:f>
        <x:v>224.71</x:v>
      </x:c>
      <x:c r="M465" s="31" t="str">
        <x:v>网站结构化接口</x:v>
      </x:c>
      <x:c r="N465" s="36" t="d">
        <x:v>2026-10-28T14:16:22.777Z</x:v>
      </x:c>
    </x:row>
    <x:row r="466">
      <x:c r="A466" s="36" t="d">
        <x:v>2026-04-10T00:00:00.000Z</x:v>
      </x:c>
      <x:c r="B466" s="48" t="n">
        <x:v>220.21</x:v>
      </x:c>
      <x:c r="C466" s="48" t="n">
        <x:v>293.58</x:v>
      </x:c>
      <x:c r="D466" s="48" t="n">
        <x:v>280.28</x:v>
      </x:c>
      <x:c r="E466" s="48" t="n">
        <x:v>360.1</x:v>
      </x:c>
      <x:c r="F466" s="48" t="n">
        <x:v>113.82</x:v>
      </x:c>
      <x:c r="G466" s="48" t="n">
        <x:v>154.41</x:v>
      </x:c>
      <x:c r="H466" s="49" t="n">
        <x:v>373989.5</x:v>
      </x:c>
      <x:c r="I466" s="49" t="n">
        <x:v>378864.48</x:v>
      </x:c>
      <x:c r="J466" s="48" t="n">
        <x:f>IF(COUNT(B466:C466)&lt;2,"",B466-C466)</x:f>
        <x:v>-73.36999999999998</x:v>
      </x:c>
      <x:c r="K466" s="48" t="n">
        <x:f>IF(COUNT(D466,F466)&lt;2,"",D466-F466)</x:f>
        <x:v>166.45999999999998</x:v>
      </x:c>
      <x:c r="L466" s="48" t="n">
        <x:f>IF(COUNT(E466,G466)&lt;2,"",E466-G466)</x:f>
        <x:v>205.69000000000003</x:v>
      </x:c>
      <x:c r="M466" s="31" t="str">
        <x:v>网站结构化接口</x:v>
      </x:c>
      <x:c r="N466" s="36" t="d">
        <x:v>2026-10-28T14:16:22.777Z</x:v>
      </x:c>
    </x:row>
    <x:row r="467">
      <x:c r="A467" s="36" t="d">
        <x:v>2026-04-11T00:00:00.000Z</x:v>
      </x:c>
      <x:c r="B467" s="48" t="n">
        <x:v>136.77</x:v>
      </x:c>
      <x:c r="C467" s="48" t="n">
        <x:v>229.67</x:v>
      </x:c>
      <x:c r="D467" s="48" t="n">
        <x:v>169.06</x:v>
      </x:c>
      <x:c r="E467" s="48" t="n">
        <x:v>262.87</x:v>
      </x:c>
      <x:c r="F467" s="48" t="n">
        <x:v>91.22</x:v>
      </x:c>
      <x:c r="G467" s="48" t="n">
        <x:v>171.85</x:v>
      </x:c>
      <x:c r="H467" s="49" t="n">
        <x:v>368195.33</x:v>
      </x:c>
      <x:c r="I467" s="49" t="n">
        <x:v>386745.91</x:v>
      </x:c>
      <x:c r="J467" s="48" t="n">
        <x:f>IF(COUNT(B467:C467)&lt;2,"",B467-C467)</x:f>
        <x:v>-92.89999999999998</x:v>
      </x:c>
      <x:c r="K467" s="48" t="n">
        <x:f>IF(COUNT(D467,F467)&lt;2,"",D467-F467)</x:f>
        <x:v>77.84</x:v>
      </x:c>
      <x:c r="L467" s="48" t="n">
        <x:f>IF(COUNT(E467,G467)&lt;2,"",E467-G467)</x:f>
        <x:v>91.02000000000001</x:v>
      </x:c>
      <x:c r="M467" s="31" t="str">
        <x:v>网站结构化接口</x:v>
      </x:c>
      <x:c r="N467" s="36" t="d">
        <x:v>2026-10-28T14:16:22.777Z</x:v>
      </x:c>
    </x:row>
    <x:row r="468">
      <x:c r="A468" s="36" t="d">
        <x:v>2026-04-12T00:00:00.000Z</x:v>
      </x:c>
      <x:c r="B468" s="48" t="n">
        <x:v>133.88</x:v>
      </x:c>
      <x:c r="C468" s="48" t="n">
        <x:v>180.45</x:v>
      </x:c>
      <x:c r="D468" s="48" t="n">
        <x:v>165.99</x:v>
      </x:c>
      <x:c r="E468" s="48" t="n">
        <x:v>216.83</x:v>
      </x:c>
      <x:c r="F468" s="48" t="n">
        <x:v>75.71</x:v>
      </x:c>
      <x:c r="G468" s="48" t="n">
        <x:v>113.24</x:v>
      </x:c>
      <x:c r="H468" s="49" t="n">
        <x:v>365892.12</x:v>
      </x:c>
      <x:c r="I468" s="49" t="n">
        <x:v>372789.21</x:v>
      </x:c>
      <x:c r="J468" s="48" t="n">
        <x:f>IF(COUNT(B468:C468)&lt;2,"",B468-C468)</x:f>
        <x:v>-46.56999999999999</x:v>
      </x:c>
      <x:c r="K468" s="48" t="n">
        <x:f>IF(COUNT(D468,F468)&lt;2,"",D468-F468)</x:f>
        <x:v>90.28000000000002</x:v>
      </x:c>
      <x:c r="L468" s="48" t="n">
        <x:f>IF(COUNT(E468,G468)&lt;2,"",E468-G468)</x:f>
        <x:v>103.59000000000002</x:v>
      </x:c>
      <x:c r="M468" s="31" t="str">
        <x:v>网站结构化接口</x:v>
      </x:c>
      <x:c r="N468" s="36" t="d">
        <x:v>2026-10-28T14:16:22.777Z</x:v>
      </x:c>
    </x:row>
    <x:row r="469">
      <x:c r="A469" s="36" t="d">
        <x:v>2026-04-13T00:00:00.000Z</x:v>
      </x:c>
      <x:c r="B469" s="48" t="n">
        <x:v>273.21</x:v>
      </x:c>
      <x:c r="C469" s="48" t="n">
        <x:v>302.4</x:v>
      </x:c>
      <x:c r="D469" s="48" t="n">
        <x:v>291.64</x:v>
      </x:c>
      <x:c r="E469" s="48" t="n">
        <x:v>329.36</x:v>
      </x:c>
      <x:c r="F469" s="48" t="n">
        <x:v>216.67</x:v>
      </x:c>
      <x:c r="G469" s="48" t="n">
        <x:v>221.33</x:v>
      </x:c>
      <x:c r="H469" s="49" t="n">
        <x:v>395354.07</x:v>
      </x:c>
      <x:c r="I469" s="49" t="n">
        <x:v>391214.2</x:v>
      </x:c>
      <x:c r="J469" s="48" t="n">
        <x:f>IF(COUNT(B469:C469)&lt;2,"",B469-C469)</x:f>
        <x:v>-29.189999999999998</x:v>
      </x:c>
      <x:c r="K469" s="48" t="n">
        <x:f>IF(COUNT(D469,F469)&lt;2,"",D469-F469)</x:f>
        <x:v>74.97</x:v>
      </x:c>
      <x:c r="L469" s="48" t="n">
        <x:f>IF(COUNT(E469,G469)&lt;2,"",E469-G469)</x:f>
        <x:v>108.03</x:v>
      </x:c>
      <x:c r="M469" s="31" t="str">
        <x:v>网站结构化接口</x:v>
      </x:c>
      <x:c r="N469" s="36" t="d">
        <x:v>2026-10-28T14:16:22.777Z</x:v>
      </x:c>
    </x:row>
    <x:row r="470">
      <x:c r="A470" s="36" t="d">
        <x:v>2026-04-14T00:00:00.000Z</x:v>
      </x:c>
      <x:c r="B470" s="48" t="n">
        <x:v>268.72</x:v>
      </x:c>
      <x:c r="C470" s="48" t="n">
        <x:v>269.45</x:v>
      </x:c>
      <x:c r="D470" s="48" t="n">
        <x:v>346.41</x:v>
      </x:c>
      <x:c r="E470" s="48" t="n">
        <x:v>315.83</x:v>
      </x:c>
      <x:c r="F470" s="48" t="n">
        <x:v>97.46</x:v>
      </x:c>
      <x:c r="G470" s="48" t="n">
        <x:v>163.58</x:v>
      </x:c>
      <x:c r="H470" s="49" t="n">
        <x:v>391134.28</x:v>
      </x:c>
      <x:c r="I470" s="49" t="n">
        <x:v>390352.57</x:v>
      </x:c>
      <x:c r="J470" s="48" t="n">
        <x:f>IF(COUNT(B470:C470)&lt;2,"",B470-C470)</x:f>
        <x:v>-0.7299999999999613</x:v>
      </x:c>
      <x:c r="K470" s="48" t="n">
        <x:f>IF(COUNT(D470,F470)&lt;2,"",D470-F470)</x:f>
        <x:v>248.95000000000005</x:v>
      </x:c>
      <x:c r="L470" s="48" t="n">
        <x:f>IF(COUNT(E470,G470)&lt;2,"",E470-G470)</x:f>
        <x:v>152.24999999999997</x:v>
      </x:c>
      <x:c r="M470" s="31" t="str">
        <x:v>网站结构化接口</x:v>
      </x:c>
      <x:c r="N470" s="36" t="d">
        <x:v>2026-10-28T14:16:22.777Z</x:v>
      </x:c>
    </x:row>
    <x:row r="471">
      <x:c r="A471" s="36" t="d">
        <x:v>2026-04-15T00:00:00.000Z</x:v>
      </x:c>
      <x:c r="B471" s="48" t="n">
        <x:v>281.11</x:v>
      </x:c>
      <x:c r="C471" s="48" t="n">
        <x:v>159.21</x:v>
      </x:c>
      <x:c r="D471" s="48" t="n">
        <x:v>356.32</x:v>
      </x:c>
      <x:c r="E471" s="48" t="n">
        <x:v>196.63</x:v>
      </x:c>
      <x:c r="F471" s="48" t="n">
        <x:v>139.19</x:v>
      </x:c>
      <x:c r="G471" s="48" t="n">
        <x:v>105.55</x:v>
      </x:c>
      <x:c r="H471" s="49" t="n">
        <x:v>385306.45</x:v>
      </x:c>
      <x:c r="I471" s="49" t="n">
        <x:v>369399.71</x:v>
      </x:c>
      <x:c r="J471" s="48" t="n">
        <x:f>IF(COUNT(B471:C471)&lt;2,"",B471-C471)</x:f>
        <x:v>121.9</x:v>
      </x:c>
      <x:c r="K471" s="48" t="n">
        <x:f>IF(COUNT(D471,F471)&lt;2,"",D471-F471)</x:f>
        <x:v>217.13</x:v>
      </x:c>
      <x:c r="L471" s="48" t="n">
        <x:f>IF(COUNT(E471,G471)&lt;2,"",E471-G471)</x:f>
        <x:v>91.08</x:v>
      </x:c>
      <x:c r="M471" s="31" t="str">
        <x:v>网站结构化接口</x:v>
      </x:c>
      <x:c r="N471" s="36" t="d">
        <x:v>2026-10-28T14:16:22.777Z</x:v>
      </x:c>
    </x:row>
    <x:row r="472">
      <x:c r="A472" s="36" t="d">
        <x:v>2026-04-16T00:00:00.000Z</x:v>
      </x:c>
      <x:c r="B472" s="48" t="n">
        <x:v>164.76</x:v>
      </x:c>
      <x:c r="C472" s="48" t="n">
        <x:v>139.63</x:v>
      </x:c>
      <x:c r="D472" s="48" t="n">
        <x:v>223.34</x:v>
      </x:c>
      <x:c r="E472" s="48" t="n">
        <x:v>184.53</x:v>
      </x:c>
      <x:c r="F472" s="48" t="n">
        <x:v>71.76</x:v>
      </x:c>
      <x:c r="G472" s="48" t="n">
        <x:v>65.87</x:v>
      </x:c>
      <x:c r="H472" s="49" t="n">
        <x:v>369418.69</x:v>
      </x:c>
      <x:c r="I472" s="49" t="n">
        <x:v>344192.59</x:v>
      </x:c>
      <x:c r="J472" s="48" t="n">
        <x:f>IF(COUNT(B472:C472)&lt;2,"",B472-C472)</x:f>
        <x:v>25.129999999999995</x:v>
      </x:c>
      <x:c r="K472" s="48" t="n">
        <x:f>IF(COUNT(D472,F472)&lt;2,"",D472-F472)</x:f>
        <x:v>151.57999999999998</x:v>
      </x:c>
      <x:c r="L472" s="48" t="n">
        <x:f>IF(COUNT(E472,G472)&lt;2,"",E472-G472)</x:f>
        <x:v>118.66</x:v>
      </x:c>
      <x:c r="M472" s="31" t="str">
        <x:v>网站结构化接口</x:v>
      </x:c>
      <x:c r="N472" s="36" t="d">
        <x:v>2026-10-28T14:16:22.777Z</x:v>
      </x:c>
    </x:row>
    <x:row r="473">
      <x:c r="A473" s="36" t="d">
        <x:v>2026-04-17T00:00:00.000Z</x:v>
      </x:c>
      <x:c r="B473" s="48" t="n">
        <x:v>130.19</x:v>
      </x:c>
      <x:c r="C473" s="48" t="n">
        <x:v>97.56</x:v>
      </x:c>
      <x:c r="D473" s="48" t="n">
        <x:v>183.13</x:v>
      </x:c>
      <x:c r="E473" s="48" t="n">
        <x:v>136.16</x:v>
      </x:c>
      <x:c r="F473" s="48" t="n">
        <x:v>60.59</x:v>
      </x:c>
      <x:c r="G473" s="48" t="n">
        <x:v>47.25</x:v>
      </x:c>
      <x:c r="H473" s="49" t="n">
        <x:v>363936.68</x:v>
      </x:c>
      <x:c r="I473" s="49" t="n">
        <x:v>344068.7</x:v>
      </x:c>
      <x:c r="J473" s="48" t="n">
        <x:f>IF(COUNT(B473:C473)&lt;2,"",B473-C473)</x:f>
        <x:v>32.629999999999995</x:v>
      </x:c>
      <x:c r="K473" s="48" t="n">
        <x:f>IF(COUNT(D473,F473)&lt;2,"",D473-F473)</x:f>
        <x:v>122.53999999999999</x:v>
      </x:c>
      <x:c r="L473" s="48" t="n">
        <x:f>IF(COUNT(E473,G473)&lt;2,"",E473-G473)</x:f>
        <x:v>88.91</x:v>
      </x:c>
      <x:c r="M473" s="31" t="str">
        <x:v>网站结构化接口</x:v>
      </x:c>
      <x:c r="N473" s="36" t="d">
        <x:v>2026-10-28T14:16:22.777Z</x:v>
      </x:c>
    </x:row>
    <x:row r="474">
      <x:c r="A474" s="36" t="d">
        <x:v>2026-04-18T00:00:00.000Z</x:v>
      </x:c>
      <x:c r="B474" s="48" t="n">
        <x:v>60.76</x:v>
      </x:c>
      <x:c r="C474" s="48" t="n">
        <x:v>49.61</x:v>
      </x:c>
      <x:c r="D474" s="48" t="n">
        <x:v>101.35</x:v>
      </x:c>
      <x:c r="E474" s="48" t="n">
        <x:v>75.72</x:v>
      </x:c>
      <x:c r="F474" s="48" t="n">
        <x:v>26.91</x:v>
      </x:c>
      <x:c r="G474" s="48" t="n">
        <x:v>24.62</x:v>
      </x:c>
      <x:c r="H474" s="49" t="n">
        <x:v>338432.07</x:v>
      </x:c>
      <x:c r="I474" s="49" t="n">
        <x:v>327040.19</x:v>
      </x:c>
      <x:c r="J474" s="48" t="n">
        <x:f>IF(COUNT(B474:C474)&lt;2,"",B474-C474)</x:f>
        <x:v>11.149999999999999</x:v>
      </x:c>
      <x:c r="K474" s="48" t="n">
        <x:f>IF(COUNT(D474,F474)&lt;2,"",D474-F474)</x:f>
        <x:v>74.44</x:v>
      </x:c>
      <x:c r="L474" s="48" t="n">
        <x:f>IF(COUNT(E474,G474)&lt;2,"",E474-G474)</x:f>
        <x:v>51.099999999999994</x:v>
      </x:c>
      <x:c r="M474" s="31" t="str">
        <x:v>网站结构化接口</x:v>
      </x:c>
      <x:c r="N474" s="36" t="d">
        <x:v>2026-10-28T14:16:22.777Z</x:v>
      </x:c>
    </x:row>
    <x:row r="475">
      <x:c r="A475" s="36" t="d">
        <x:v>2026-04-19T00:00:00.000Z</x:v>
      </x:c>
      <x:c r="B475" s="48" t="n">
        <x:v>88.26</x:v>
      </x:c>
      <x:c r="C475" s="48" t="n">
        <x:v>198.09</x:v>
      </x:c>
      <x:c r="D475" s="48" t="n">
        <x:v>128.21</x:v>
      </x:c>
      <x:c r="E475" s="48" t="n">
        <x:v>209.28</x:v>
      </x:c>
      <x:c r="F475" s="48" t="n">
        <x:v>46.5</x:v>
      </x:c>
      <x:c r="G475" s="48" t="n">
        <x:v>182.93</x:v>
      </x:c>
      <x:c r="H475" s="49" t="n">
        <x:v>339991.38</x:v>
      </x:c>
      <x:c r="I475" s="49" t="n">
        <x:v>354233.37</x:v>
      </x:c>
      <x:c r="J475" s="48" t="n">
        <x:f>IF(COUNT(B475:C475)&lt;2,"",B475-C475)</x:f>
        <x:v>-109.83</x:v>
      </x:c>
      <x:c r="K475" s="48" t="n">
        <x:f>IF(COUNT(D475,F475)&lt;2,"",D475-F475)</x:f>
        <x:v>81.71000000000001</x:v>
      </x:c>
      <x:c r="L475" s="48" t="n">
        <x:f>IF(COUNT(E475,G475)&lt;2,"",E475-G475)</x:f>
        <x:v>26.349999999999994</x:v>
      </x:c>
      <x:c r="M475" s="31" t="str">
        <x:v>网站结构化接口</x:v>
      </x:c>
      <x:c r="N475" s="36" t="d">
        <x:v>2026-10-28T14:16:22.777Z</x:v>
      </x:c>
    </x:row>
    <x:row r="476">
      <x:c r="A476" s="36" t="d">
        <x:v>2026-04-20T00:00:00.000Z</x:v>
      </x:c>
      <x:c r="B476" s="48" t="n">
        <x:v>130.73</x:v>
      </x:c>
      <x:c r="C476" s="48" t="n">
        <x:v>187.32</x:v>
      </x:c>
      <x:c r="D476" s="48" t="n">
        <x:v>168.8</x:v>
      </x:c>
      <x:c r="E476" s="48" t="n">
        <x:v>235.48</x:v>
      </x:c>
      <x:c r="F476" s="48" t="n">
        <x:v>66.06</x:v>
      </x:c>
      <x:c r="G476" s="48" t="n">
        <x:v>107.26</x:v>
      </x:c>
      <x:c r="H476" s="49" t="n">
        <x:v>357551.63</x:v>
      </x:c>
      <x:c r="I476" s="49" t="n">
        <x:v>346053.95</x:v>
      </x:c>
      <x:c r="J476" s="48" t="n">
        <x:f>IF(COUNT(B476:C476)&lt;2,"",B476-C476)</x:f>
        <x:v>-56.59</x:v>
      </x:c>
      <x:c r="K476" s="48" t="n">
        <x:f>IF(COUNT(D476,F476)&lt;2,"",D476-F476)</x:f>
        <x:v>102.74000000000001</x:v>
      </x:c>
      <x:c r="L476" s="48" t="n">
        <x:f>IF(COUNT(E476,G476)&lt;2,"",E476-G476)</x:f>
        <x:v>128.21999999999997</x:v>
      </x:c>
      <x:c r="M476" s="31" t="str">
        <x:v>网站结构化接口</x:v>
      </x:c>
      <x:c r="N476" s="36" t="d">
        <x:v>2026-10-28T14:16:22.777Z</x:v>
      </x:c>
    </x:row>
    <x:row r="477">
      <x:c r="A477" s="36" t="d">
        <x:v>2026-04-21T00:00:00.000Z</x:v>
      </x:c>
      <x:c r="B477" s="48" t="n">
        <x:v>299.6</x:v>
      </x:c>
      <x:c r="C477" s="48" t="n">
        <x:v>230.48</x:v>
      </x:c>
      <x:c r="D477" s="48" t="n">
        <x:v>326.93</x:v>
      </x:c>
      <x:c r="E477" s="48" t="n">
        <x:v>256.87</x:v>
      </x:c>
      <x:c r="F477" s="48" t="n">
        <x:v>185.83</x:v>
      </x:c>
      <x:c r="G477" s="48" t="n">
        <x:v>137.55</x:v>
      </x:c>
      <x:c r="H477" s="49" t="n">
        <x:v>389705.6</x:v>
      </x:c>
      <x:c r="I477" s="49" t="n">
        <x:v>367537.71</x:v>
      </x:c>
      <x:c r="J477" s="48" t="n">
        <x:f>IF(COUNT(B477:C477)&lt;2,"",B477-C477)</x:f>
        <x:v>69.12000000000003</x:v>
      </x:c>
      <x:c r="K477" s="48" t="n">
        <x:f>IF(COUNT(D477,F477)&lt;2,"",D477-F477)</x:f>
        <x:v>141.1</x:v>
      </x:c>
      <x:c r="L477" s="48" t="n">
        <x:f>IF(COUNT(E477,G477)&lt;2,"",E477-G477)</x:f>
        <x:v>119.32</x:v>
      </x:c>
      <x:c r="M477" s="31" t="str">
        <x:v>网站结构化接口</x:v>
      </x:c>
      <x:c r="N477" s="36" t="d">
        <x:v>2026-10-28T14:16:22.777Z</x:v>
      </x:c>
    </x:row>
    <x:row r="478">
      <x:c r="A478" s="36" t="d">
        <x:v>2026-04-22T00:00:00.000Z</x:v>
      </x:c>
      <x:c r="B478" s="48" t="n">
        <x:v>191.35</x:v>
      </x:c>
      <x:c r="C478" s="48" t="n">
        <x:v>170.6</x:v>
      </x:c>
      <x:c r="D478" s="48" t="n">
        <x:v>240.49</x:v>
      </x:c>
      <x:c r="E478" s="48" t="n">
        <x:v>220.72</x:v>
      </x:c>
      <x:c r="F478" s="48" t="n">
        <x:v>80.68</x:v>
      </x:c>
      <x:c r="G478" s="48" t="n">
        <x:v>71.55</x:v>
      </x:c>
      <x:c r="H478" s="49" t="n">
        <x:v>387239.47</x:v>
      </x:c>
      <x:c r="I478" s="49" t="n">
        <x:v>375847.55</x:v>
      </x:c>
      <x:c r="J478" s="48" t="n">
        <x:f>IF(COUNT(B478:C478)&lt;2,"",B478-C478)</x:f>
        <x:v>20.75</x:v>
      </x:c>
      <x:c r="K478" s="48" t="n">
        <x:f>IF(COUNT(D478,F478)&lt;2,"",D478-F478)</x:f>
        <x:v>159.81</x:v>
      </x:c>
      <x:c r="L478" s="48" t="n">
        <x:f>IF(COUNT(E478,G478)&lt;2,"",E478-G478)</x:f>
        <x:v>149.17000000000002</x:v>
      </x:c>
      <x:c r="M478" s="31" t="str">
        <x:v>网站结构化接口</x:v>
      </x:c>
      <x:c r="N478" s="36" t="d">
        <x:v>2026-10-28T14:16:22.777Z</x:v>
      </x:c>
    </x:row>
    <x:row r="479">
      <x:c r="A479" s="36" t="d">
        <x:v>2026-04-23T00:00:00.000Z</x:v>
      </x:c>
      <x:c r="B479" s="48" t="n">
        <x:v>118.58</x:v>
      </x:c>
      <x:c r="C479" s="48" t="n">
        <x:v>140.81</x:v>
      </x:c>
      <x:c r="D479" s="48" t="n">
        <x:v>152.66</x:v>
      </x:c>
      <x:c r="E479" s="48" t="n">
        <x:v>187.27</x:v>
      </x:c>
      <x:c r="F479" s="48" t="n">
        <x:v>60.35</x:v>
      </x:c>
      <x:c r="G479" s="48" t="n">
        <x:v>59.04</x:v>
      </x:c>
      <x:c r="H479" s="49" t="n">
        <x:v>367825.05</x:v>
      </x:c>
      <x:c r="I479" s="49" t="n">
        <x:v>371619.79</x:v>
      </x:c>
      <x:c r="J479" s="48" t="n">
        <x:f>IF(COUNT(B479:C479)&lt;2,"",B479-C479)</x:f>
        <x:v>-22.230000000000004</x:v>
      </x:c>
      <x:c r="K479" s="48" t="n">
        <x:f>IF(COUNT(D479,F479)&lt;2,"",D479-F479)</x:f>
        <x:v>92.31</x:v>
      </x:c>
      <x:c r="L479" s="48" t="n">
        <x:f>IF(COUNT(E479,G479)&lt;2,"",E479-G479)</x:f>
        <x:v>128.23000000000002</x:v>
      </x:c>
      <x:c r="M479" s="31" t="str">
        <x:v>网站结构化接口</x:v>
      </x:c>
      <x:c r="N479" s="36" t="d">
        <x:v>2026-10-28T14:16:22.777Z</x:v>
      </x:c>
    </x:row>
    <x:row r="480">
      <x:c r="A480" s="36" t="d">
        <x:v>2026-04-24T00:00:00.000Z</x:v>
      </x:c>
      <x:c r="B480" s="48" t="n">
        <x:v>192.56</x:v>
      </x:c>
      <x:c r="C480" s="48" t="n">
        <x:v>245.55</x:v>
      </x:c>
      <x:c r="D480" s="48" t="n">
        <x:v>272.18</x:v>
      </x:c>
      <x:c r="E480" s="48" t="n">
        <x:v>324.63</x:v>
      </x:c>
      <x:c r="F480" s="48" t="n">
        <x:v>57.77</x:v>
      </x:c>
      <x:c r="G480" s="48" t="n">
        <x:v>105.54</x:v>
      </x:c>
      <x:c r="H480" s="49" t="n">
        <x:v>382807.76</x:v>
      </x:c>
      <x:c r="I480" s="49" t="n">
        <x:v>390521.08</x:v>
      </x:c>
      <x:c r="J480" s="48" t="n">
        <x:f>IF(COUNT(B480:C480)&lt;2,"",B480-C480)</x:f>
        <x:v>-52.99000000000001</x:v>
      </x:c>
      <x:c r="K480" s="48" t="n">
        <x:f>IF(COUNT(D480,F480)&lt;2,"",D480-F480)</x:f>
        <x:v>214.41</x:v>
      </x:c>
      <x:c r="L480" s="48" t="n">
        <x:f>IF(COUNT(E480,G480)&lt;2,"",E480-G480)</x:f>
        <x:v>219.08999999999997</x:v>
      </x:c>
      <x:c r="M480" s="31" t="str">
        <x:v>网站结构化接口</x:v>
      </x:c>
      <x:c r="N480" s="36" t="d">
        <x:v>2026-10-28T14:16:22.777Z</x:v>
      </x:c>
    </x:row>
    <x:row r="481">
      <x:c r="A481" s="36" t="d">
        <x:v>2026-04-25T00:00:00.000Z</x:v>
      </x:c>
      <x:c r="B481" s="48" t="n">
        <x:v>179.42</x:v>
      </x:c>
      <x:c r="C481" s="48" t="n">
        <x:v>143.52</x:v>
      </x:c>
      <x:c r="D481" s="48" t="n">
        <x:v>229.97</x:v>
      </x:c>
      <x:c r="E481" s="48" t="n">
        <x:v>185.68</x:v>
      </x:c>
      <x:c r="F481" s="48" t="n">
        <x:v>71.6</x:v>
      </x:c>
      <x:c r="G481" s="48" t="n">
        <x:v>67.62</x:v>
      </x:c>
      <x:c r="H481" s="49" t="n">
        <x:v>379185.92</x:v>
      </x:c>
      <x:c r="I481" s="49" t="n">
        <x:v>367928.52</x:v>
      </x:c>
      <x:c r="J481" s="48" t="n">
        <x:f>IF(COUNT(B481:C481)&lt;2,"",B481-C481)</x:f>
        <x:v>35.89999999999998</x:v>
      </x:c>
      <x:c r="K481" s="48" t="n">
        <x:f>IF(COUNT(D481,F481)&lt;2,"",D481-F481)</x:f>
        <x:v>158.37</x:v>
      </x:c>
      <x:c r="L481" s="48" t="n">
        <x:f>IF(COUNT(E481,G481)&lt;2,"",E481-G481)</x:f>
        <x:v>118.06</x:v>
      </x:c>
      <x:c r="M481" s="31" t="str">
        <x:v>网站结构化接口</x:v>
      </x:c>
      <x:c r="N481" s="36" t="d">
        <x:v>2026-10-28T14:16:22.777Z</x:v>
      </x:c>
    </x:row>
    <x:row r="482">
      <x:c r="A482" s="36" t="d">
        <x:v>2026-04-26T00:00:00.000Z</x:v>
      </x:c>
      <x:c r="B482" s="48" t="n">
        <x:v>167.42</x:v>
      </x:c>
      <x:c r="C482" s="48" t="n">
        <x:v>153.65</x:v>
      </x:c>
      <x:c r="D482" s="48" t="n">
        <x:v>215.08</x:v>
      </x:c>
      <x:c r="E482" s="48" t="n">
        <x:v>201.32</x:v>
      </x:c>
      <x:c r="F482" s="48" t="n">
        <x:v>82.59</x:v>
      </x:c>
      <x:c r="G482" s="48" t="n">
        <x:v>73.18</x:v>
      </x:c>
      <x:c r="H482" s="49" t="n">
        <x:v>376884.59</x:v>
      </x:c>
      <x:c r="I482" s="49" t="n">
        <x:v>364176.66</x:v>
      </x:c>
      <x:c r="J482" s="48" t="n">
        <x:f>IF(COUNT(B482:C482)&lt;2,"",B482-C482)</x:f>
        <x:v>13.769999999999982</x:v>
      </x:c>
      <x:c r="K482" s="48" t="n">
        <x:f>IF(COUNT(D482,F482)&lt;2,"",D482-F482)</x:f>
        <x:v>132.49</x:v>
      </x:c>
      <x:c r="L482" s="48" t="n">
        <x:f>IF(COUNT(E482,G482)&lt;2,"",E482-G482)</x:f>
        <x:v>128.14</x:v>
      </x:c>
      <x:c r="M482" s="31" t="str">
        <x:v>网站结构化接口</x:v>
      </x:c>
      <x:c r="N482" s="36" t="d">
        <x:v>2026-10-28T14:16:22.777Z</x:v>
      </x:c>
    </x:row>
    <x:row r="483">
      <x:c r="A483" s="36" t="d">
        <x:v>2026-04-27T00:00:00.000Z</x:v>
      </x:c>
      <x:c r="B483" s="48" t="n">
        <x:v>169.06</x:v>
      </x:c>
      <x:c r="C483" s="48" t="n">
        <x:v>222.32</x:v>
      </x:c>
      <x:c r="D483" s="48" t="n">
        <x:v>238.94</x:v>
      </x:c>
      <x:c r="E483" s="48" t="n">
        <x:v>308.75</x:v>
      </x:c>
      <x:c r="F483" s="48" t="n">
        <x:v>55.84</x:v>
      </x:c>
      <x:c r="G483" s="48" t="n">
        <x:v>59.11</x:v>
      </x:c>
      <x:c r="H483" s="49" t="n">
        <x:v>395798.8</x:v>
      </x:c>
      <x:c r="I483" s="49" t="n">
        <x:v>394775.91</x:v>
      </x:c>
      <x:c r="J483" s="48" t="n">
        <x:f>IF(COUNT(B483:C483)&lt;2,"",B483-C483)</x:f>
        <x:v>-53.25999999999999</x:v>
      </x:c>
      <x:c r="K483" s="48" t="n">
        <x:f>IF(COUNT(D483,F483)&lt;2,"",D483-F483)</x:f>
        <x:v>183.1</x:v>
      </x:c>
      <x:c r="L483" s="48" t="n">
        <x:f>IF(COUNT(E483,G483)&lt;2,"",E483-G483)</x:f>
        <x:v>249.64</x:v>
      </x:c>
      <x:c r="M483" s="31" t="str">
        <x:v>网站结构化接口</x:v>
      </x:c>
      <x:c r="N483" s="36" t="d">
        <x:v>2026-10-28T14:16:22.777Z</x:v>
      </x:c>
    </x:row>
    <x:row r="484">
      <x:c r="A484" s="36" t="d">
        <x:v>2026-04-28T00:00:00.000Z</x:v>
      </x:c>
      <x:c r="B484" s="48" t="n">
        <x:v>152.96</x:v>
      </x:c>
      <x:c r="C484" s="48" t="n">
        <x:v>121.85</x:v>
      </x:c>
      <x:c r="D484" s="48" t="n">
        <x:v>197.77</x:v>
      </x:c>
      <x:c r="E484" s="48" t="n">
        <x:v>162.99</x:v>
      </x:c>
      <x:c r="F484" s="48" t="n">
        <x:v>61.17</x:v>
      </x:c>
      <x:c r="G484" s="48" t="n">
        <x:v>52.3</x:v>
      </x:c>
      <x:c r="H484" s="49" t="n">
        <x:v>374232.48</x:v>
      </x:c>
      <x:c r="I484" s="49" t="n">
        <x:v>373221.95</x:v>
      </x:c>
      <x:c r="J484" s="48" t="n">
        <x:f>IF(COUNT(B484:C484)&lt;2,"",B484-C484)</x:f>
        <x:v>31.110000000000014</x:v>
      </x:c>
      <x:c r="K484" s="48" t="n">
        <x:f>IF(COUNT(D484,F484)&lt;2,"",D484-F484)</x:f>
        <x:v>136.60000000000002</x:v>
      </x:c>
      <x:c r="L484" s="48" t="n">
        <x:f>IF(COUNT(E484,G484)&lt;2,"",E484-G484)</x:f>
        <x:v>110.69000000000001</x:v>
      </x:c>
      <x:c r="M484" s="31" t="str">
        <x:v>网站结构化接口</x:v>
      </x:c>
      <x:c r="N484" s="36" t="d">
        <x:v>2026-10-28T14:16:22.777Z</x:v>
      </x:c>
    </x:row>
    <x:row r="485">
      <x:c r="A485" s="36" t="d">
        <x:v>2026-04-29T00:00:00.000Z</x:v>
      </x:c>
      <x:c r="B485" s="48" t="n">
        <x:v>132.38</x:v>
      </x:c>
      <x:c r="C485" s="48" t="n">
        <x:v>158.77</x:v>
      </x:c>
      <x:c r="D485" s="48" t="n">
        <x:v>170.75</x:v>
      </x:c>
      <x:c r="E485" s="48" t="n">
        <x:v>207.99</x:v>
      </x:c>
      <x:c r="F485" s="48" t="n">
        <x:v>60.04</x:v>
      </x:c>
      <x:c r="G485" s="48" t="n">
        <x:v>60.07</x:v>
      </x:c>
      <x:c r="H485" s="49" t="n">
        <x:v>364791.59</x:v>
      </x:c>
      <x:c r="I485" s="49" t="n">
        <x:v>361791.06</x:v>
      </x:c>
      <x:c r="J485" s="48" t="n">
        <x:f>IF(COUNT(B485:C485)&lt;2,"",B485-C485)</x:f>
        <x:v>-26.390000000000015</x:v>
      </x:c>
      <x:c r="K485" s="48" t="n">
        <x:f>IF(COUNT(D485,F485)&lt;2,"",D485-F485)</x:f>
        <x:v>110.71000000000001</x:v>
      </x:c>
      <x:c r="L485" s="48" t="n">
        <x:f>IF(COUNT(E485,G485)&lt;2,"",E485-G485)</x:f>
        <x:v>147.92000000000002</x:v>
      </x:c>
      <x:c r="M485" s="31" t="str">
        <x:v>网站结构化接口</x:v>
      </x:c>
      <x:c r="N485" s="36" t="d">
        <x:v>2026-10-28T14:16:22.777Z</x:v>
      </x:c>
    </x:row>
    <x:row r="486">
      <x:c r="A486" s="36" t="d">
        <x:v>2026-04-30T00:00:00.000Z</x:v>
      </x:c>
      <x:c r="B486" s="48" t="n">
        <x:v>42.07</x:v>
      </x:c>
      <x:c r="C486" s="48" t="n">
        <x:v>60.02</x:v>
      </x:c>
      <x:c r="D486" s="48" t="n">
        <x:v>56.91</x:v>
      </x:c>
      <x:c r="E486" s="48" t="n">
        <x:v>80.81</x:v>
      </x:c>
      <x:c r="F486" s="48" t="n">
        <x:v>25.52</x:v>
      </x:c>
      <x:c r="G486" s="48" t="n">
        <x:v>34.9</x:v>
      </x:c>
      <x:c r="H486" s="49" t="n">
        <x:v>327866.13</x:v>
      </x:c>
      <x:c r="I486" s="49" t="n">
        <x:v>337214.19</x:v>
      </x:c>
      <x:c r="J486" s="48" t="n">
        <x:f>IF(COUNT(B486:C486)&lt;2,"",B486-C486)</x:f>
        <x:v>-17.950000000000003</x:v>
      </x:c>
      <x:c r="K486" s="48" t="n">
        <x:f>IF(COUNT(D486,F486)&lt;2,"",D486-F486)</x:f>
        <x:v>31.389999999999997</x:v>
      </x:c>
      <x:c r="L486" s="48" t="n">
        <x:f>IF(COUNT(E486,G486)&lt;2,"",E486-G486)</x:f>
        <x:v>45.910000000000004</x:v>
      </x:c>
      <x:c r="M486" s="31" t="str">
        <x:v>网站结构化接口</x:v>
      </x:c>
      <x:c r="N486" s="36" t="d">
        <x:v>2026-10-28T14:16:22.777Z</x:v>
      </x:c>
    </x:row>
    <x:row r="487">
      <x:c r="A487" s="36" t="d">
        <x:v>2026-05-01T00:00:00.000Z</x:v>
      </x:c>
      <x:c r="B487" s="48" t="n">
        <x:v>109.04</x:v>
      </x:c>
      <x:c r="C487" s="48" t="n">
        <x:v>104.62</x:v>
      </x:c>
      <x:c r="D487" s="48" t="n">
        <x:v>126.78</x:v>
      </x:c>
      <x:c r="E487" s="48" t="n">
        <x:v>131.85</x:v>
      </x:c>
      <x:c r="F487" s="48" t="n">
        <x:v>67.91</x:v>
      </x:c>
      <x:c r="G487" s="48" t="n">
        <x:v>46.2</x:v>
      </x:c>
      <x:c r="H487" s="49" t="n">
        <x:v>331535.48</x:v>
      </x:c>
      <x:c r="I487" s="49" t="n">
        <x:v>321830.16</x:v>
      </x:c>
      <x:c r="J487" s="48" t="n">
        <x:f>IF(COUNT(B487:C487)&lt;2,"",B487-C487)</x:f>
        <x:v>4.420000000000002</x:v>
      </x:c>
      <x:c r="K487" s="48" t="n">
        <x:f>IF(COUNT(D487,F487)&lt;2,"",D487-F487)</x:f>
        <x:v>58.870000000000005</x:v>
      </x:c>
      <x:c r="L487" s="48" t="n">
        <x:f>IF(COUNT(E487,G487)&lt;2,"",E487-G487)</x:f>
        <x:v>85.64999999999999</x:v>
      </x:c>
      <x:c r="M487" s="31" t="str">
        <x:v>网站结构化接口</x:v>
      </x:c>
      <x:c r="N487" s="36" t="d">
        <x:v>2026-10-28T14:16:22.777Z</x:v>
      </x:c>
    </x:row>
    <x:row r="488">
      <x:c r="A488" s="36" t="d">
        <x:v>2026-05-02T00:00:00.000Z</x:v>
      </x:c>
      <x:c r="B488" s="48" t="n">
        <x:v>54.19</x:v>
      </x:c>
      <x:c r="C488" s="48" t="n">
        <x:v>65.36</x:v>
      </x:c>
      <x:c r="D488" s="48" t="n">
        <x:v>67.42</x:v>
      </x:c>
      <x:c r="E488" s="48" t="n">
        <x:v>83.52</x:v>
      </x:c>
      <x:c r="F488" s="48" t="n">
        <x:v>38.6</x:v>
      </x:c>
      <x:c r="G488" s="48" t="n">
        <x:v>41.35</x:v>
      </x:c>
      <x:c r="H488" s="49" t="n">
        <x:v>309187.3</x:v>
      </x:c>
      <x:c r="I488" s="49" t="n">
        <x:v>305902.44</x:v>
      </x:c>
      <x:c r="J488" s="48" t="n">
        <x:f>IF(COUNT(B488:C488)&lt;2,"",B488-C488)</x:f>
        <x:v>-11.170000000000002</x:v>
      </x:c>
      <x:c r="K488" s="48" t="n">
        <x:f>IF(COUNT(D488,F488)&lt;2,"",D488-F488)</x:f>
        <x:v>28.82</x:v>
      </x:c>
      <x:c r="L488" s="48" t="n">
        <x:f>IF(COUNT(E488,G488)&lt;2,"",E488-G488)</x:f>
        <x:v>42.169999999999995</x:v>
      </x:c>
      <x:c r="M488" s="31" t="str">
        <x:v>网站结构化接口</x:v>
      </x:c>
      <x:c r="N488" s="36" t="d">
        <x:v>2026-10-28T14:16:22.777Z</x:v>
      </x:c>
    </x:row>
    <x:row r="489">
      <x:c r="A489" s="36" t="d">
        <x:v>2026-05-03T00:00:00.000Z</x:v>
      </x:c>
      <x:c r="B489" s="48" t="n">
        <x:v>87.2</x:v>
      </x:c>
      <x:c r="C489" s="48" t="n">
        <x:v>122.92</x:v>
      </x:c>
      <x:c r="D489" s="48" t="n">
        <x:v>120.37</x:v>
      </x:c>
      <x:c r="E489" s="48" t="n">
        <x:v>164.98</x:v>
      </x:c>
      <x:c r="F489" s="48" t="n">
        <x:v>34.68</x:v>
      </x:c>
      <x:c r="G489" s="48" t="n">
        <x:v>52.01</x:v>
      </x:c>
      <x:c r="H489" s="49" t="n">
        <x:v>309680.51</x:v>
      </x:c>
      <x:c r="I489" s="49" t="n">
        <x:v>299706.36</x:v>
      </x:c>
      <x:c r="J489" s="48" t="n">
        <x:f>IF(COUNT(B489:C489)&lt;2,"",B489-C489)</x:f>
        <x:v>-35.72</x:v>
      </x:c>
      <x:c r="K489" s="48" t="n">
        <x:f>IF(COUNT(D489,F489)&lt;2,"",D489-F489)</x:f>
        <x:v>85.69</x:v>
      </x:c>
      <x:c r="L489" s="48" t="n">
        <x:f>IF(COUNT(E489,G489)&lt;2,"",E489-G489)</x:f>
        <x:v>112.97</x:v>
      </x:c>
      <x:c r="M489" s="31" t="str">
        <x:v>网站结构化接口</x:v>
      </x:c>
      <x:c r="N489" s="36" t="d">
        <x:v>2026-10-28T14:16:22.777Z</x:v>
      </x:c>
    </x:row>
    <x:row r="490">
      <x:c r="A490" s="36" t="d">
        <x:v>2026-05-04T00:00:00.000Z</x:v>
      </x:c>
      <x:c r="B490" s="48" t="n">
        <x:v>150.82</x:v>
      </x:c>
      <x:c r="C490" s="48" t="n">
        <x:v>126.16</x:v>
      </x:c>
      <x:c r="D490" s="48" t="n">
        <x:v>187.23</x:v>
      </x:c>
      <x:c r="E490" s="48" t="n">
        <x:v>154.28</x:v>
      </x:c>
      <x:c r="F490" s="48" t="n">
        <x:v>95.71</x:v>
      </x:c>
      <x:c r="G490" s="48" t="n">
        <x:v>83.79</x:v>
      </x:c>
      <x:c r="H490" s="49" t="n">
        <x:v>311679.04</x:v>
      </x:c>
      <x:c r="I490" s="49" t="n">
        <x:v>311724.54</x:v>
      </x:c>
      <x:c r="J490" s="48" t="n">
        <x:f>IF(COUNT(B490:C490)&lt;2,"",B490-C490)</x:f>
        <x:v>24.659999999999997</x:v>
      </x:c>
      <x:c r="K490" s="48" t="n">
        <x:f>IF(COUNT(D490,F490)&lt;2,"",D490-F490)</x:f>
        <x:v>91.52</x:v>
      </x:c>
      <x:c r="L490" s="48" t="n">
        <x:f>IF(COUNT(E490,G490)&lt;2,"",E490-G490)</x:f>
        <x:v>70.49</x:v>
      </x:c>
      <x:c r="M490" s="31" t="str">
        <x:v>网站结构化接口</x:v>
      </x:c>
      <x:c r="N490" s="36" t="d">
        <x:v>2026-10-28T14:16:22.777Z</x:v>
      </x:c>
    </x:row>
    <x:row r="491">
      <x:c r="A491" s="36" t="d">
        <x:v>2026-05-05T00:00:00.000Z</x:v>
      </x:c>
      <x:c r="B491" s="48" t="n">
        <x:v>58.95</x:v>
      </x:c>
      <x:c r="C491" s="48" t="n">
        <x:v>55.2</x:v>
      </x:c>
      <x:c r="D491" s="48" t="n">
        <x:v>76.62</x:v>
      </x:c>
      <x:c r="E491" s="48" t="n">
        <x:v>66.78</x:v>
      </x:c>
      <x:c r="F491" s="48" t="n">
        <x:v>37.66</x:v>
      </x:c>
      <x:c r="G491" s="48" t="n">
        <x:v>42.07</x:v>
      </x:c>
      <x:c r="H491" s="49" t="n">
        <x:v>306070.21</x:v>
      </x:c>
      <x:c r="I491" s="49" t="n">
        <x:v>306649.13</x:v>
      </x:c>
      <x:c r="J491" s="48" t="n">
        <x:f>IF(COUNT(B491:C491)&lt;2,"",B491-C491)</x:f>
        <x:v>3.75</x:v>
      </x:c>
      <x:c r="K491" s="48" t="n">
        <x:f>IF(COUNT(D491,F491)&lt;2,"",D491-F491)</x:f>
        <x:v>38.96000000000001</x:v>
      </x:c>
      <x:c r="L491" s="48" t="n">
        <x:f>IF(COUNT(E491,G491)&lt;2,"",E491-G491)</x:f>
        <x:v>24.71</x:v>
      </x:c>
      <x:c r="M491" s="31" t="str">
        <x:v>网站结构化接口</x:v>
      </x:c>
      <x:c r="N491" s="36" t="d">
        <x:v>2026-10-28T14:16:22.777Z</x:v>
      </x:c>
    </x:row>
    <x:row r="492">
      <x:c r="A492" s="36" t="d">
        <x:v>2026-05-06T00:00:00.000Z</x:v>
      </x:c>
      <x:c r="B492" s="48" t="n">
        <x:v>88.88</x:v>
      </x:c>
      <x:c r="C492" s="48" t="n">
        <x:v>102.87</x:v>
      </x:c>
      <x:c r="D492" s="48" t="n">
        <x:v>109.83</x:v>
      </x:c>
      <x:c r="E492" s="48" t="n">
        <x:v>120.39</x:v>
      </x:c>
      <x:c r="F492" s="48" t="n">
        <x:v>62.91</x:v>
      </x:c>
      <x:c r="G492" s="48" t="n">
        <x:v>78.14</x:v>
      </x:c>
      <x:c r="H492" s="49" t="n">
        <x:v>346233.63</x:v>
      </x:c>
      <x:c r="I492" s="49" t="n">
        <x:v>349554.28</x:v>
      </x:c>
      <x:c r="J492" s="48" t="n">
        <x:f>IF(COUNT(B492:C492)&lt;2,"",B492-C492)</x:f>
        <x:v>-13.990000000000009</x:v>
      </x:c>
      <x:c r="K492" s="48" t="n">
        <x:f>IF(COUNT(D492,F492)&lt;2,"",D492-F492)</x:f>
        <x:v>46.92</x:v>
      </x:c>
      <x:c r="L492" s="48" t="n">
        <x:f>IF(COUNT(E492,G492)&lt;2,"",E492-G492)</x:f>
        <x:v>42.25</x:v>
      </x:c>
      <x:c r="M492" s="31" t="str">
        <x:v>网站结构化接口</x:v>
      </x:c>
      <x:c r="N492" s="36" t="d">
        <x:v>2026-10-28T14:16:22.777Z</x:v>
      </x:c>
    </x:row>
    <x:row r="493">
      <x:c r="A493" s="36" t="d">
        <x:v>2026-05-07T00:00:00.000Z</x:v>
      </x:c>
      <x:c r="B493" s="48" t="n">
        <x:v>160.86</x:v>
      </x:c>
      <x:c r="C493" s="48" t="n">
        <x:v>217.21</x:v>
      </x:c>
      <x:c r="D493" s="48" t="n">
        <x:v>212.35</x:v>
      </x:c>
      <x:c r="E493" s="48" t="n">
        <x:v>297.63</x:v>
      </x:c>
      <x:c r="F493" s="48" t="n">
        <x:v>73.29</x:v>
      </x:c>
      <x:c r="G493" s="48" t="n">
        <x:v>72.68</x:v>
      </x:c>
      <x:c r="H493" s="49" t="n">
        <x:v>347604.3</x:v>
      </x:c>
      <x:c r="I493" s="49" t="n">
        <x:v>348783.58</x:v>
      </x:c>
      <x:c r="J493" s="48" t="n">
        <x:f>IF(COUNT(B493:C493)&lt;2,"",B493-C493)</x:f>
        <x:v>-56.349999999999994</x:v>
      </x:c>
      <x:c r="K493" s="48" t="n">
        <x:f>IF(COUNT(D493,F493)&lt;2,"",D493-F493)</x:f>
        <x:v>139.06</x:v>
      </x:c>
      <x:c r="L493" s="48" t="n">
        <x:f>IF(COUNT(E493,G493)&lt;2,"",E493-G493)</x:f>
        <x:v>224.95</x:v>
      </x:c>
      <x:c r="M493" s="31" t="str">
        <x:v>网站结构化接口</x:v>
      </x:c>
      <x:c r="N493" s="36" t="d">
        <x:v>2026-10-28T14:16:22.777Z</x:v>
      </x:c>
    </x:row>
    <x:row r="494">
      <x:c r="A494" s="36" t="d">
        <x:v>2026-05-08T00:00:00.000Z</x:v>
      </x:c>
      <x:c r="B494" s="48" t="n">
        <x:v>78.95</x:v>
      </x:c>
      <x:c r="C494" s="48" t="n">
        <x:v>71.55</x:v>
      </x:c>
      <x:c r="D494" s="48" t="n">
        <x:v>100.94</x:v>
      </x:c>
      <x:c r="E494" s="48" t="n">
        <x:v>92.76</x:v>
      </x:c>
      <x:c r="F494" s="48" t="n">
        <x:v>48.31</x:v>
      </x:c>
      <x:c r="G494" s="48" t="n">
        <x:v>42.4</x:v>
      </x:c>
      <x:c r="H494" s="49" t="n">
        <x:v>362117.93</x:v>
      </x:c>
      <x:c r="I494" s="49" t="n">
        <x:v>358520.66</x:v>
      </x:c>
      <x:c r="J494" s="48" t="n">
        <x:f>IF(COUNT(B494:C494)&lt;2,"",B494-C494)</x:f>
        <x:v>7.400000000000006</x:v>
      </x:c>
      <x:c r="K494" s="48" t="n">
        <x:f>IF(COUNT(D494,F494)&lt;2,"",D494-F494)</x:f>
        <x:v>52.629999999999995</x:v>
      </x:c>
      <x:c r="L494" s="48" t="n">
        <x:f>IF(COUNT(E494,G494)&lt;2,"",E494-G494)</x:f>
        <x:v>50.36000000000001</x:v>
      </x:c>
      <x:c r="M494" s="31" t="str">
        <x:v>网站结构化接口</x:v>
      </x:c>
      <x:c r="N494" s="36" t="d">
        <x:v>2026-10-28T14:16:22.777Z</x:v>
      </x:c>
    </x:row>
    <x:row r="495">
      <x:c r="A495" s="36" t="d">
        <x:v>2026-05-09T00:00:00.000Z</x:v>
      </x:c>
      <x:c r="B495" s="48" t="n">
        <x:v>187.45</x:v>
      </x:c>
      <x:c r="C495" s="48" t="n">
        <x:v>222.57</x:v>
      </x:c>
      <x:c r="D495" s="48" t="n">
        <x:v>290.29</x:v>
      </x:c>
      <x:c r="E495" s="48" t="n">
        <x:v>334.17</x:v>
      </x:c>
      <x:c r="F495" s="48" t="n">
        <x:v>46.33</x:v>
      </x:c>
      <x:c r="G495" s="48" t="n">
        <x:v>62.71</x:v>
      </x:c>
      <x:c r="H495" s="49" t="n">
        <x:v>331864.49</x:v>
      </x:c>
      <x:c r="I495" s="49" t="n">
        <x:v>338498.18</x:v>
      </x:c>
      <x:c r="J495" s="48" t="n">
        <x:f>IF(COUNT(B495:C495)&lt;2,"",B495-C495)</x:f>
        <x:v>-35.120000000000005</x:v>
      </x:c>
      <x:c r="K495" s="48" t="n">
        <x:f>IF(COUNT(D495,F495)&lt;2,"",D495-F495)</x:f>
        <x:v>243.96000000000004</x:v>
      </x:c>
      <x:c r="L495" s="48" t="n">
        <x:f>IF(COUNT(E495,G495)&lt;2,"",E495-G495)</x:f>
        <x:v>271.46000000000004</x:v>
      </x:c>
      <x:c r="M495" s="31" t="str">
        <x:v>网站结构化接口</x:v>
      </x:c>
      <x:c r="N495" s="36" t="d">
        <x:v>2026-10-28T14:16:22.777Z</x:v>
      </x:c>
    </x:row>
    <x:row r="496">
      <x:c r="A496" s="36" t="d">
        <x:v>2026-05-10T00:00:00.000Z</x:v>
      </x:c>
      <x:c r="B496" s="48" t="n">
        <x:v>233.11</x:v>
      </x:c>
      <x:c r="C496" s="48" t="n">
        <x:v>294.36</x:v>
      </x:c>
      <x:c r="D496" s="48" t="n">
        <x:v>303</x:v>
      </x:c>
      <x:c r="E496" s="48" t="n">
        <x:v>389.6</x:v>
      </x:c>
      <x:c r="F496" s="48" t="n">
        <x:v>91.39</x:v>
      </x:c>
      <x:c r="G496" s="48" t="n">
        <x:v>107.2</x:v>
      </x:c>
      <x:c r="H496" s="49" t="n">
        <x:v>352473.44</x:v>
      </x:c>
      <x:c r="I496" s="49" t="n">
        <x:v>363965.68</x:v>
      </x:c>
      <x:c r="J496" s="48" t="n">
        <x:f>IF(COUNT(B496:C496)&lt;2,"",B496-C496)</x:f>
        <x:v>-61.25</x:v>
      </x:c>
      <x:c r="K496" s="48" t="n">
        <x:f>IF(COUNT(D496,F496)&lt;2,"",D496-F496)</x:f>
        <x:v>211.61</x:v>
      </x:c>
      <x:c r="L496" s="48" t="n">
        <x:f>IF(COUNT(E496,G496)&lt;2,"",E496-G496)</x:f>
        <x:v>282.40000000000003</x:v>
      </x:c>
      <x:c r="M496" s="31" t="str">
        <x:v>网站结构化接口</x:v>
      </x:c>
      <x:c r="N496" s="36" t="d">
        <x:v>2026-10-28T14:16:22.777Z</x:v>
      </x:c>
    </x:row>
    <x:row r="497">
      <x:c r="A497" s="36" t="d">
        <x:v>2026-05-11T00:00:00.000Z</x:v>
      </x:c>
      <x:c r="B497" s="48" t="n">
        <x:v>119.57</x:v>
      </x:c>
      <x:c r="C497" s="48" t="n">
        <x:v>86.86</x:v>
      </x:c>
      <x:c r="D497" s="48" t="n">
        <x:v>150.99</x:v>
      </x:c>
      <x:c r="E497" s="48" t="n">
        <x:v>116.26</x:v>
      </x:c>
      <x:c r="F497" s="48" t="n">
        <x:v>51.65</x:v>
      </x:c>
      <x:c r="G497" s="48" t="n">
        <x:v>28.14</x:v>
      </x:c>
      <x:c r="H497" s="49" t="n">
        <x:v>379844.35</x:v>
      </x:c>
      <x:c r="I497" s="49" t="n">
        <x:v>374820.37</x:v>
      </x:c>
      <x:c r="J497" s="48" t="n">
        <x:f>IF(COUNT(B497:C497)&lt;2,"",B497-C497)</x:f>
        <x:v>32.709999999999994</x:v>
      </x:c>
      <x:c r="K497" s="48" t="n">
        <x:f>IF(COUNT(D497,F497)&lt;2,"",D497-F497)</x:f>
        <x:v>99.34</x:v>
      </x:c>
      <x:c r="L497" s="48" t="n">
        <x:f>IF(COUNT(E497,G497)&lt;2,"",E497-G497)</x:f>
        <x:v>88.12</x:v>
      </x:c>
      <x:c r="M497" s="31" t="str">
        <x:v>网站结构化接口</x:v>
      </x:c>
      <x:c r="N497" s="36" t="d">
        <x:v>2026-10-28T14:16:22.777Z</x:v>
      </x:c>
    </x:row>
    <x:row r="498">
      <x:c r="A498" s="36" t="d">
        <x:v>2026-05-12T00:00:00.000Z</x:v>
      </x:c>
      <x:c r="B498" s="48" t="n">
        <x:v>32.43</x:v>
      </x:c>
      <x:c r="C498" s="48" t="n">
        <x:v>48.95</x:v>
      </x:c>
      <x:c r="D498" s="48" t="n">
        <x:v>41.97</x:v>
      </x:c>
      <x:c r="E498" s="48" t="n">
        <x:v>64.65</x:v>
      </x:c>
      <x:c r="F498" s="48" t="n">
        <x:v>19.68</x:v>
      </x:c>
      <x:c r="G498" s="48" t="n">
        <x:v>27.5</x:v>
      </x:c>
      <x:c r="H498" s="49" t="n">
        <x:v>383348.61</x:v>
      </x:c>
      <x:c r="I498" s="49" t="n">
        <x:v>415451.9</x:v>
      </x:c>
      <x:c r="J498" s="48" t="n">
        <x:f>IF(COUNT(B498:C498)&lt;2,"",B498-C498)</x:f>
        <x:v>-16.520000000000003</x:v>
      </x:c>
      <x:c r="K498" s="48" t="n">
        <x:f>IF(COUNT(D498,F498)&lt;2,"",D498-F498)</x:f>
        <x:v>22.29</x:v>
      </x:c>
      <x:c r="L498" s="48" t="n">
        <x:f>IF(COUNT(E498,G498)&lt;2,"",E498-G498)</x:f>
        <x:v>37.150000000000006</x:v>
      </x:c>
      <x:c r="M498" s="31" t="str">
        <x:v>网站结构化接口</x:v>
      </x:c>
      <x:c r="N498" s="36" t="d">
        <x:v>2026-10-28T14:16:22.777Z</x:v>
      </x:c>
    </x:row>
    <x:row r="499">
      <x:c r="A499" s="36" t="d">
        <x:v>2026-05-13T00:00:00.000Z</x:v>
      </x:c>
      <x:c r="B499" s="48" t="n">
        <x:v>111.88</x:v>
      </x:c>
      <x:c r="C499" s="48" t="n">
        <x:v>199</x:v>
      </x:c>
      <x:c r="D499" s="48" t="n">
        <x:v>136.25</x:v>
      </x:c>
      <x:c r="E499" s="48" t="n">
        <x:v>227.42</x:v>
      </x:c>
      <x:c r="F499" s="48" t="n">
        <x:v>52.27</x:v>
      </x:c>
      <x:c r="G499" s="48" t="n">
        <x:v>117.08</x:v>
      </x:c>
      <x:c r="H499" s="49" t="n">
        <x:v>382728.49</x:v>
      </x:c>
      <x:c r="I499" s="49" t="n">
        <x:v>425448.88</x:v>
      </x:c>
      <x:c r="J499" s="48" t="n">
        <x:f>IF(COUNT(B499:C499)&lt;2,"",B499-C499)</x:f>
        <x:v>-87.12</x:v>
      </x:c>
      <x:c r="K499" s="48" t="n">
        <x:f>IF(COUNT(D499,F499)&lt;2,"",D499-F499)</x:f>
        <x:v>83.97999999999999</x:v>
      </x:c>
      <x:c r="L499" s="48" t="n">
        <x:f>IF(COUNT(E499,G499)&lt;2,"",E499-G499)</x:f>
        <x:v>110.33999999999999</x:v>
      </x:c>
      <x:c r="M499" s="31" t="str">
        <x:v>网站结构化接口</x:v>
      </x:c>
      <x:c r="N499" s="36" t="d">
        <x:v>2026-10-28T14:16:22.777Z</x:v>
      </x:c>
    </x:row>
    <x:row r="500">
      <x:c r="A500" s="36" t="d">
        <x:v>2026-05-14T00:00:00.000Z</x:v>
      </x:c>
      <x:c r="B500" s="48" t="n">
        <x:v>158.83</x:v>
      </x:c>
      <x:c r="C500" s="48" t="n">
        <x:v>270.33</x:v>
      </x:c>
      <x:c r="D500" s="48" t="n">
        <x:v>192.84</x:v>
      </x:c>
      <x:c r="E500" s="48" t="n">
        <x:v>324.23</x:v>
      </x:c>
      <x:c r="F500" s="48" t="n">
        <x:v>73.64</x:v>
      </x:c>
      <x:c r="G500" s="48" t="n">
        <x:v>113.01</x:v>
      </x:c>
      <x:c r="H500" s="49" t="n">
        <x:v>400043.03</x:v>
      </x:c>
      <x:c r="I500" s="49" t="n">
        <x:v>430628.64</x:v>
      </x:c>
      <x:c r="J500" s="48" t="n">
        <x:f>IF(COUNT(B500:C500)&lt;2,"",B500-C500)</x:f>
        <x:v>-111.49999999999997</x:v>
      </x:c>
      <x:c r="K500" s="48" t="n">
        <x:f>IF(COUNT(D500,F500)&lt;2,"",D500-F500)</x:f>
        <x:v>119.2</x:v>
      </x:c>
      <x:c r="L500" s="48" t="n">
        <x:f>IF(COUNT(E500,G500)&lt;2,"",E500-G500)</x:f>
        <x:v>211.22000000000003</x:v>
      </x:c>
      <x:c r="M500" s="31" t="str">
        <x:v>网站结构化接口</x:v>
      </x:c>
      <x:c r="N500" s="36" t="d">
        <x:v>2026-10-28T14:16:22.777Z</x:v>
      </x:c>
    </x:row>
    <x:row r="501">
      <x:c r="A501" s="36" t="d">
        <x:v>2026-05-15T00:00:00.000Z</x:v>
      </x:c>
      <x:c r="B501" s="48" t="n">
        <x:v>222.86</x:v>
      </x:c>
      <x:c r="C501" s="48" t="n">
        <x:v>330.37</x:v>
      </x:c>
      <x:c r="D501" s="48" t="n">
        <x:v>242.65</x:v>
      </x:c>
      <x:c r="E501" s="48" t="n">
        <x:v>335.89</x:v>
      </x:c>
      <x:c r="F501" s="48" t="n">
        <x:v>157.59</x:v>
      </x:c>
      <x:c r="G501" s="48" t="n">
        <x:v>308.65</x:v>
      </x:c>
      <x:c r="H501" s="49" t="n">
        <x:v>408647.83</x:v>
      </x:c>
      <x:c r="I501" s="49" t="n">
        <x:v>443120.59</x:v>
      </x:c>
      <x:c r="J501" s="48" t="n">
        <x:f>IF(COUNT(B501:C501)&lt;2,"",B501-C501)</x:f>
        <x:v>-107.50999999999999</x:v>
      </x:c>
      <x:c r="K501" s="48" t="n">
        <x:f>IF(COUNT(D501,F501)&lt;2,"",D501-F501)</x:f>
        <x:v>85.06</x:v>
      </x:c>
      <x:c r="L501" s="48" t="n">
        <x:f>IF(COUNT(E501,G501)&lt;2,"",E501-G501)</x:f>
        <x:v>27.24000000000001</x:v>
      </x:c>
      <x:c r="M501" s="31" t="str">
        <x:v>网站结构化接口</x:v>
      </x:c>
      <x:c r="N501" s="36" t="d">
        <x:v>2026-10-28T14:16:22.777Z</x:v>
      </x:c>
    </x:row>
    <x:row r="502">
      <x:c r="A502" s="36" t="d">
        <x:v>2026-05-16T00:00:00.000Z</x:v>
      </x:c>
      <x:c r="B502" s="48" t="n">
        <x:v>210.75</x:v>
      </x:c>
      <x:c r="C502" s="48" t="n">
        <x:v>251.57</x:v>
      </x:c>
      <x:c r="D502" s="48" t="n">
        <x:v>240.54</x:v>
      </x:c>
      <x:c r="E502" s="48" t="n">
        <x:v>306.59</x:v>
      </x:c>
      <x:c r="F502" s="48" t="n">
        <x:v>143.46</x:v>
      </x:c>
      <x:c r="G502" s="48" t="n">
        <x:v>109.45</x:v>
      </x:c>
      <x:c r="H502" s="49" t="n">
        <x:v>385537.06</x:v>
      </x:c>
      <x:c r="I502" s="49" t="n">
        <x:v>385104.02</x:v>
      </x:c>
      <x:c r="J502" s="48" t="n">
        <x:f>IF(COUNT(B502:C502)&lt;2,"",B502-C502)</x:f>
        <x:v>-40.81999999999999</x:v>
      </x:c>
      <x:c r="K502" s="48" t="n">
        <x:f>IF(COUNT(D502,F502)&lt;2,"",D502-F502)</x:f>
        <x:v>97.07999999999998</x:v>
      </x:c>
      <x:c r="L502" s="48" t="n">
        <x:f>IF(COUNT(E502,G502)&lt;2,"",E502-G502)</x:f>
        <x:v>197.14</x:v>
      </x:c>
      <x:c r="M502" s="31" t="str">
        <x:v>网站结构化接口</x:v>
      </x:c>
      <x:c r="N502" s="36" t="d">
        <x:v>2026-10-28T14:16:22.777Z</x:v>
      </x:c>
    </x:row>
    <x:row r="503">
      <x:c r="A503" s="36" t="d">
        <x:v>2026-05-17T00:00:00.000Z</x:v>
      </x:c>
      <x:c r="B503" s="48" t="n">
        <x:v>297.2</x:v>
      </x:c>
      <x:c r="C503" s="48" t="n">
        <x:v>240.31</x:v>
      </x:c>
      <x:c r="D503" s="48" t="n">
        <x:v>308.27</x:v>
      </x:c>
      <x:c r="E503" s="48" t="n">
        <x:v>257.44</x:v>
      </x:c>
      <x:c r="F503" s="48" t="n">
        <x:v>253.63</x:v>
      </x:c>
      <x:c r="G503" s="48" t="n">
        <x:v>173.34</x:v>
      </x:c>
      <x:c r="H503" s="49" t="n">
        <x:v>405259.91</x:v>
      </x:c>
      <x:c r="I503" s="49" t="n">
        <x:v>378239.72</x:v>
      </x:c>
      <x:c r="J503" s="48" t="n">
        <x:f>IF(COUNT(B503:C503)&lt;2,"",B503-C503)</x:f>
        <x:v>56.889999999999986</x:v>
      </x:c>
      <x:c r="K503" s="48" t="n">
        <x:f>IF(COUNT(D503,F503)&lt;2,"",D503-F503)</x:f>
        <x:v>54.639999999999986</x:v>
      </x:c>
      <x:c r="L503" s="48" t="n">
        <x:f>IF(COUNT(E503,G503)&lt;2,"",E503-G503)</x:f>
        <x:v>84.1</x:v>
      </x:c>
      <x:c r="M503" s="31" t="str">
        <x:v>网站结构化接口</x:v>
      </x:c>
      <x:c r="N503" s="36" t="d">
        <x:v>2026-10-28T14:16:22.777Z</x:v>
      </x:c>
    </x:row>
    <x:row r="504">
      <x:c r="A504" s="36" t="d">
        <x:v>2026-05-18T00:00:00.000Z</x:v>
      </x:c>
      <x:c r="B504" s="48" t="n">
        <x:v>209.61</x:v>
      </x:c>
      <x:c r="C504" s="48" t="n">
        <x:v>195.2</x:v>
      </x:c>
      <x:c r="D504" s="48" t="n">
        <x:v>254.79</x:v>
      </x:c>
      <x:c r="E504" s="48" t="n">
        <x:v>238.08</x:v>
      </x:c>
      <x:c r="F504" s="48" t="n">
        <x:v>96.64</x:v>
      </x:c>
      <x:c r="G504" s="48" t="n">
        <x:v>90.5</x:v>
      </x:c>
      <x:c r="H504" s="49" t="n">
        <x:v>390985.66</x:v>
      </x:c>
      <x:c r="I504" s="49" t="n">
        <x:v>382722.67</x:v>
      </x:c>
      <x:c r="J504" s="48" t="n">
        <x:f>IF(COUNT(B504:C504)&lt;2,"",B504-C504)</x:f>
        <x:v>14.410000000000025</x:v>
      </x:c>
      <x:c r="K504" s="48" t="n">
        <x:f>IF(COUNT(D504,F504)&lt;2,"",D504-F504)</x:f>
        <x:v>158.14999999999998</x:v>
      </x:c>
      <x:c r="L504" s="48" t="n">
        <x:f>IF(COUNT(E504,G504)&lt;2,"",E504-G504)</x:f>
        <x:v>147.58</x:v>
      </x:c>
      <x:c r="M504" s="31" t="str">
        <x:v>网站结构化接口</x:v>
      </x:c>
      <x:c r="N504" s="36" t="d">
        <x:v>2026-10-28T14:16:22.777Z</x:v>
      </x:c>
    </x:row>
    <x:row r="505">
      <x:c r="A505" s="36" t="d">
        <x:v>2026-05-19T00:00:00.000Z</x:v>
      </x:c>
      <x:c r="B505" s="48" t="n">
        <x:v>131.33</x:v>
      </x:c>
      <x:c r="C505" s="48" t="n">
        <x:v>61.44</x:v>
      </x:c>
      <x:c r="D505" s="48" t="n">
        <x:v>170.06</x:v>
      </x:c>
      <x:c r="E505" s="48" t="n">
        <x:v>75.39</x:v>
      </x:c>
      <x:c r="F505" s="48" t="n">
        <x:v>62.02</x:v>
      </x:c>
      <x:c r="G505" s="48" t="n">
        <x:v>40.42</x:v>
      </x:c>
      <x:c r="H505" s="49" t="n">
        <x:v>343175.68</x:v>
      </x:c>
      <x:c r="I505" s="49" t="n">
        <x:v>340432.39</x:v>
      </x:c>
      <x:c r="J505" s="48" t="n">
        <x:f>IF(COUNT(B505:C505)&lt;2,"",B505-C505)</x:f>
        <x:v>69.89000000000001</x:v>
      </x:c>
      <x:c r="K505" s="48" t="n">
        <x:f>IF(COUNT(D505,F505)&lt;2,"",D505-F505)</x:f>
        <x:v>108.03999999999999</x:v>
      </x:c>
      <x:c r="L505" s="48" t="n">
        <x:f>IF(COUNT(E505,G505)&lt;2,"",E505-G505)</x:f>
        <x:v>34.97</x:v>
      </x:c>
      <x:c r="M505" s="31" t="str">
        <x:v>网站结构化接口</x:v>
      </x:c>
      <x:c r="N505" s="36" t="d">
        <x:v>2026-10-28T14:16:22.777Z</x:v>
      </x:c>
    </x:row>
    <x:row r="506">
      <x:c r="A506" s="36" t="d">
        <x:v>2026-05-20T00:00:00.000Z</x:v>
      </x:c>
      <x:c r="B506" s="48" t="n">
        <x:v>21.78</x:v>
      </x:c>
      <x:c r="C506" s="48" t="n">
        <x:v>17.1</x:v>
      </x:c>
      <x:c r="D506" s="48" t="n">
        <x:v>36.76</x:v>
      </x:c>
      <x:c r="E506" s="48" t="n">
        <x:v>24.61</x:v>
      </x:c>
      <x:c r="F506" s="48" t="n">
        <x:v>5.85</x:v>
      </x:c>
      <x:c r="G506" s="48" t="n">
        <x:v>8.32</x:v>
      </x:c>
      <x:c r="H506" s="49" t="n">
        <x:v>301144.83</x:v>
      </x:c>
      <x:c r="I506" s="49" t="n">
        <x:v>291556.67</x:v>
      </x:c>
      <x:c r="J506" s="48" t="n">
        <x:f>IF(COUNT(B506:C506)&lt;2,"",B506-C506)</x:f>
        <x:v>4.68</x:v>
      </x:c>
      <x:c r="K506" s="48" t="n">
        <x:f>IF(COUNT(D506,F506)&lt;2,"",D506-F506)</x:f>
        <x:v>30.909999999999997</x:v>
      </x:c>
      <x:c r="L506" s="48" t="n">
        <x:f>IF(COUNT(E506,G506)&lt;2,"",E506-G506)</x:f>
        <x:v>16.29</x:v>
      </x:c>
      <x:c r="M506" s="31" t="str">
        <x:v>网站结构化接口</x:v>
      </x:c>
      <x:c r="N506" s="36" t="d">
        <x:v>2026-10-28T14:16:22.777Z</x:v>
      </x:c>
    </x:row>
    <x:row r="507">
      <x:c r="A507" s="36" t="d">
        <x:v>2026-05-21T00:00:00.000Z</x:v>
      </x:c>
      <x:c r="B507" s="48" t="n">
        <x:v>95.27</x:v>
      </x:c>
      <x:c r="C507" s="48" t="n">
        <x:v>91.66</x:v>
      </x:c>
      <x:c r="D507" s="48" t="n">
        <x:v>125.98</x:v>
      </x:c>
      <x:c r="E507" s="48" t="n">
        <x:v>122.51</x:v>
      </x:c>
      <x:c r="F507" s="48" t="n">
        <x:v>46.06</x:v>
      </x:c>
      <x:c r="G507" s="48" t="n">
        <x:v>42.09</x:v>
      </x:c>
      <x:c r="H507" s="49" t="n">
        <x:v>345956.81</x:v>
      </x:c>
      <x:c r="I507" s="49" t="n">
        <x:v>348721.46</x:v>
      </x:c>
      <x:c r="J507" s="48" t="n">
        <x:f>IF(COUNT(B507:C507)&lt;2,"",B507-C507)</x:f>
        <x:v>3.6099999999999994</x:v>
      </x:c>
      <x:c r="K507" s="48" t="n">
        <x:f>IF(COUNT(D507,F507)&lt;2,"",D507-F507)</x:f>
        <x:v>79.92</x:v>
      </x:c>
      <x:c r="L507" s="48" t="n">
        <x:f>IF(COUNT(E507,G507)&lt;2,"",E507-G507)</x:f>
        <x:v>80.42</x:v>
      </x:c>
      <x:c r="M507" s="31" t="str">
        <x:v>网站结构化接口</x:v>
      </x:c>
      <x:c r="N507" s="36" t="d">
        <x:v>2026-10-28T14:16:22.777Z</x:v>
      </x:c>
    </x:row>
    <x:row r="508">
      <x:c r="A508" s="36" t="d">
        <x:v>2026-05-22T00:00:00.000Z</x:v>
      </x:c>
      <x:c r="B508" s="48" t="n">
        <x:v>171.88</x:v>
      </x:c>
      <x:c r="C508" s="48" t="n">
        <x:v>169.04</x:v>
      </x:c>
      <x:c r="D508" s="48" t="n">
        <x:v>219.61</x:v>
      </x:c>
      <x:c r="E508" s="48" t="n">
        <x:v>215.26</x:v>
      </x:c>
      <x:c r="F508" s="48" t="n">
        <x:v>52.64</x:v>
      </x:c>
      <x:c r="G508" s="48" t="n">
        <x:v>54.25</x:v>
      </x:c>
      <x:c r="H508" s="49" t="n">
        <x:v>346216.31</x:v>
      </x:c>
      <x:c r="I508" s="49" t="n">
        <x:v>337731.32</x:v>
      </x:c>
      <x:c r="J508" s="48" t="n">
        <x:f>IF(COUNT(B508:C508)&lt;2,"",B508-C508)</x:f>
        <x:v>2.8400000000000034</x:v>
      </x:c>
      <x:c r="K508" s="48" t="n">
        <x:f>IF(COUNT(D508,F508)&lt;2,"",D508-F508)</x:f>
        <x:v>166.97000000000003</x:v>
      </x:c>
      <x:c r="L508" s="48" t="n">
        <x:f>IF(COUNT(E508,G508)&lt;2,"",E508-G508)</x:f>
        <x:v>161.01</x:v>
      </x:c>
      <x:c r="M508" s="31" t="str">
        <x:v>网站结构化接口</x:v>
      </x:c>
      <x:c r="N508" s="36" t="d">
        <x:v>2026-10-28T14:16:22.777Z</x:v>
      </x:c>
    </x:row>
    <x:row r="509">
      <x:c r="A509" s="36" t="d">
        <x:v>2026-05-23T00:00:00.000Z</x:v>
      </x:c>
      <x:c r="B509" s="48" t="n">
        <x:v>54.61</x:v>
      </x:c>
      <x:c r="C509" s="48" t="n">
        <x:v>63.71</x:v>
      </x:c>
      <x:c r="D509" s="48" t="n">
        <x:v>73.83</x:v>
      </x:c>
      <x:c r="E509" s="48" t="n">
        <x:v>91.45</x:v>
      </x:c>
      <x:c r="F509" s="48" t="n">
        <x:v>21.92</x:v>
      </x:c>
      <x:c r="G509" s="48" t="n">
        <x:v>20.24</x:v>
      </x:c>
      <x:c r="H509" s="49" t="n">
        <x:v>351780.14</x:v>
      </x:c>
      <x:c r="I509" s="49" t="n">
        <x:v>355425.29</x:v>
      </x:c>
      <x:c r="J509" s="48" t="n">
        <x:f>IF(COUNT(B509:C509)&lt;2,"",B509-C509)</x:f>
        <x:v>-9.100000000000001</x:v>
      </x:c>
      <x:c r="K509" s="48" t="n">
        <x:f>IF(COUNT(D509,F509)&lt;2,"",D509-F509)</x:f>
        <x:v>51.91</x:v>
      </x:c>
      <x:c r="L509" s="48" t="n">
        <x:f>IF(COUNT(E509,G509)&lt;2,"",E509-G509)</x:f>
        <x:v>71.21000000000001</x:v>
      </x:c>
      <x:c r="M509" s="31" t="str">
        <x:v>网站结构化接口</x:v>
      </x:c>
      <x:c r="N509" s="36" t="d">
        <x:v>2026-10-28T14:16:22.777Z</x:v>
      </x:c>
    </x:row>
    <x:row r="510">
      <x:c r="A510" s="36" t="d">
        <x:v>2026-05-24T00:00:00.000Z</x:v>
      </x:c>
      <x:c r="B510" s="48" t="n">
        <x:v>109.17</x:v>
      </x:c>
      <x:c r="C510" s="48" t="n">
        <x:v>71.13</x:v>
      </x:c>
      <x:c r="D510" s="48" t="n">
        <x:v>128.33</x:v>
      </x:c>
      <x:c r="E510" s="48" t="n">
        <x:v>83.35</x:v>
      </x:c>
      <x:c r="F510" s="48" t="n">
        <x:v>72.3</x:v>
      </x:c>
      <x:c r="G510" s="48" t="n">
        <x:v>50.62</x:v>
      </x:c>
      <x:c r="H510" s="49" t="n">
        <x:v>348826.33</x:v>
      </x:c>
      <x:c r="I510" s="49" t="n">
        <x:v>352791.87</x:v>
      </x:c>
      <x:c r="J510" s="48" t="n">
        <x:f>IF(COUNT(B510:C510)&lt;2,"",B510-C510)</x:f>
        <x:v>38.040000000000006</x:v>
      </x:c>
      <x:c r="K510" s="48" t="n">
        <x:f>IF(COUNT(D510,F510)&lt;2,"",D510-F510)</x:f>
        <x:v>56.030000000000015</x:v>
      </x:c>
      <x:c r="L510" s="48" t="n">
        <x:f>IF(COUNT(E510,G510)&lt;2,"",E510-G510)</x:f>
        <x:v>32.73</x:v>
      </x:c>
      <x:c r="M510" s="31" t="str">
        <x:v>网站结构化接口</x:v>
      </x:c>
      <x:c r="N510" s="36" t="d">
        <x:v>2026-10-28T14:16:22.777Z</x:v>
      </x:c>
    </x:row>
    <x:row r="511">
      <x:c r="A511" s="36" t="d">
        <x:v>2026-05-25T00:00:00.000Z</x:v>
      </x:c>
      <x:c r="B511" s="48" t="n">
        <x:v>206.3</x:v>
      </x:c>
      <x:c r="C511" s="48" t="n">
        <x:v>159.06</x:v>
      </x:c>
      <x:c r="D511" s="48" t="n">
        <x:v>242.16</x:v>
      </x:c>
      <x:c r="E511" s="48" t="n">
        <x:v>203.88</x:v>
      </x:c>
      <x:c r="F511" s="48" t="n">
        <x:v>125.09</x:v>
      </x:c>
      <x:c r="G511" s="48" t="n">
        <x:v>57.37</x:v>
      </x:c>
      <x:c r="H511" s="49" t="n">
        <x:v>379216.95</x:v>
      </x:c>
      <x:c r="I511" s="49" t="n">
        <x:v>360377.41</x:v>
      </x:c>
      <x:c r="J511" s="48" t="n">
        <x:f>IF(COUNT(B511:C511)&lt;2,"",B511-C511)</x:f>
        <x:v>47.24000000000001</x:v>
      </x:c>
      <x:c r="K511" s="48" t="n">
        <x:f>IF(COUNT(D511,F511)&lt;2,"",D511-F511)</x:f>
        <x:v>117.07</x:v>
      </x:c>
      <x:c r="L511" s="48" t="n">
        <x:f>IF(COUNT(E511,G511)&lt;2,"",E511-G511)</x:f>
        <x:v>146.51</x:v>
      </x:c>
      <x:c r="M511" s="31" t="str">
        <x:v>网站结构化接口</x:v>
      </x:c>
      <x:c r="N511" s="36" t="d">
        <x:v>2026-10-28T14:16:22.777Z</x:v>
      </x:c>
    </x:row>
    <x:row r="512">
      <x:c r="A512" s="36" t="d">
        <x:v>2026-05-26T00:00:00.000Z</x:v>
      </x:c>
      <x:c r="B512" s="48" t="n">
        <x:v>209.94</x:v>
      </x:c>
      <x:c r="C512" s="48" t="n">
        <x:v>210.81</x:v>
      </x:c>
      <x:c r="D512" s="48" t="n">
        <x:v>242.41</x:v>
      </x:c>
      <x:c r="E512" s="48" t="n">
        <x:v>251.76</x:v>
      </x:c>
      <x:c r="F512" s="48" t="n">
        <x:v>102.98</x:v>
      </x:c>
      <x:c r="G512" s="48" t="n">
        <x:v>78.1</x:v>
      </x:c>
      <x:c r="H512" s="49" t="n">
        <x:v>389672.98</x:v>
      </x:c>
      <x:c r="I512" s="49" t="n">
        <x:v>380113.57</x:v>
      </x:c>
      <x:c r="J512" s="48" t="n">
        <x:f>IF(COUNT(B512:C512)&lt;2,"",B512-C512)</x:f>
        <x:v>-0.8700000000000045</x:v>
      </x:c>
      <x:c r="K512" s="48" t="n">
        <x:f>IF(COUNT(D512,F512)&lt;2,"",D512-F512)</x:f>
        <x:v>139.43</x:v>
      </x:c>
      <x:c r="L512" s="48" t="n">
        <x:f>IF(COUNT(E512,G512)&lt;2,"",E512-G512)</x:f>
        <x:v>173.66</x:v>
      </x:c>
      <x:c r="M512" s="31" t="str">
        <x:v>网站结构化接口</x:v>
      </x:c>
      <x:c r="N512" s="36" t="d">
        <x:v>2026-10-28T14:16:22.777Z</x:v>
      </x:c>
    </x:row>
    <x:row r="513">
      <x:c r="A513" s="36" t="d">
        <x:v>2026-05-27T00:00:00.000Z</x:v>
      </x:c>
      <x:c r="B513" s="48" t="n">
        <x:v>152.96</x:v>
      </x:c>
      <x:c r="C513" s="48" t="n">
        <x:v>181.03</x:v>
      </x:c>
      <x:c r="D513" s="48" t="n">
        <x:v>184.07</x:v>
      </x:c>
      <x:c r="E513" s="48" t="n">
        <x:v>213.93</x:v>
      </x:c>
      <x:c r="F513" s="48" t="n">
        <x:v>70.06</x:v>
      </x:c>
      <x:c r="G513" s="48" t="n">
        <x:v>89.14</x:v>
      </x:c>
      <x:c r="H513" s="49" t="n">
        <x:v>374918.51</x:v>
      </x:c>
      <x:c r="I513" s="49" t="n">
        <x:v>407213.09</x:v>
      </x:c>
      <x:c r="J513" s="48" t="n">
        <x:f>IF(COUNT(B513:C513)&lt;2,"",B513-C513)</x:f>
        <x:v>-28.069999999999993</x:v>
      </x:c>
      <x:c r="K513" s="48" t="n">
        <x:f>IF(COUNT(D513,F513)&lt;2,"",D513-F513)</x:f>
        <x:v>114.00999999999999</x:v>
      </x:c>
      <x:c r="L513" s="48" t="n">
        <x:f>IF(COUNT(E513,G513)&lt;2,"",E513-G513)</x:f>
        <x:v>124.79</x:v>
      </x:c>
      <x:c r="M513" s="31" t="str">
        <x:v>网站结构化接口</x:v>
      </x:c>
      <x:c r="N513" s="36" t="d">
        <x:v>2026-10-28T14:16:22.777Z</x:v>
      </x:c>
    </x:row>
    <x:row r="514">
      <x:c r="A514" s="36" t="d">
        <x:v>2026-05-28T00:00:00.000Z</x:v>
      </x:c>
      <x:c r="B514" s="48" t="n">
        <x:v>203.61</x:v>
      </x:c>
      <x:c r="C514" s="48" t="n">
        <x:v>199.96</x:v>
      </x:c>
      <x:c r="D514" s="48" t="n">
        <x:v>241.02</x:v>
      </x:c>
      <x:c r="E514" s="48" t="n">
        <x:v>243.26</x:v>
      </x:c>
      <x:c r="F514" s="48" t="n">
        <x:v>88.95</x:v>
      </x:c>
      <x:c r="G514" s="48" t="n">
        <x:v>81.76</x:v>
      </x:c>
      <x:c r="H514" s="49" t="n">
        <x:v>383490.15</x:v>
      </x:c>
      <x:c r="I514" s="49" t="n">
        <x:v>398441.82</x:v>
      </x:c>
      <x:c r="J514" s="48" t="n">
        <x:f>IF(COUNT(B514:C514)&lt;2,"",B514-C514)</x:f>
        <x:v>3.6500000000000057</x:v>
      </x:c>
      <x:c r="K514" s="48" t="n">
        <x:f>IF(COUNT(D514,F514)&lt;2,"",D514-F514)</x:f>
        <x:v>152.07</x:v>
      </x:c>
      <x:c r="L514" s="48" t="n">
        <x:f>IF(COUNT(E514,G514)&lt;2,"",E514-G514)</x:f>
        <x:v>161.5</x:v>
      </x:c>
      <x:c r="M514" s="31" t="str">
        <x:v>网站结构化接口</x:v>
      </x:c>
      <x:c r="N514" s="36" t="d">
        <x:v>2026-10-28T14:16:22.777Z</x:v>
      </x:c>
    </x:row>
    <x:row r="515">
      <x:c r="A515" s="36" t="d">
        <x:v>2026-05-29T00:00:00.000Z</x:v>
      </x:c>
      <x:c r="B515" s="48" t="n">
        <x:v>206.24</x:v>
      </x:c>
      <x:c r="C515" s="48" t="n">
        <x:v>205.88</x:v>
      </x:c>
      <x:c r="D515" s="48" t="n">
        <x:v>238.25</x:v>
      </x:c>
      <x:c r="E515" s="48" t="n">
        <x:v>251.93</x:v>
      </x:c>
      <x:c r="F515" s="48" t="n">
        <x:v>59.61</x:v>
      </x:c>
      <x:c r="G515" s="48" t="n">
        <x:v>47.97</x:v>
      </x:c>
      <x:c r="H515" s="49" t="n">
        <x:v>354286</x:v>
      </x:c>
      <x:c r="I515" s="49" t="n">
        <x:v>387872.03</x:v>
      </x:c>
      <x:c r="J515" s="48" t="n">
        <x:f>IF(COUNT(B515:C515)&lt;2,"",B515-C515)</x:f>
        <x:v>0.36000000000001364</x:v>
      </x:c>
      <x:c r="K515" s="48" t="n">
        <x:f>IF(COUNT(D515,F515)&lt;2,"",D515-F515)</x:f>
        <x:v>178.64</x:v>
      </x:c>
      <x:c r="L515" s="48" t="n">
        <x:f>IF(COUNT(E515,G515)&lt;2,"",E515-G515)</x:f>
        <x:v>203.96</x:v>
      </x:c>
      <x:c r="M515" s="31" t="str">
        <x:v>网站结构化接口</x:v>
      </x:c>
      <x:c r="N515" s="36" t="d">
        <x:v>2026-10-28T14:16:22.777Z</x:v>
      </x:c>
    </x:row>
    <x:row r="516">
      <x:c r="A516" s="36" t="d">
        <x:v>2026-05-30T00:00:00.000Z</x:v>
      </x:c>
      <x:c r="B516" s="48" t="n">
        <x:v>200.07</x:v>
      </x:c>
      <x:c r="C516" s="48" t="n">
        <x:v>111.88</x:v>
      </x:c>
      <x:c r="D516" s="48" t="n">
        <x:v>249.13</x:v>
      </x:c>
      <x:c r="E516" s="48" t="n">
        <x:v>138.68</x:v>
      </x:c>
      <x:c r="F516" s="48" t="n">
        <x:v>59.96</x:v>
      </x:c>
      <x:c r="G516" s="48" t="n">
        <x:v>56.7</x:v>
      </x:c>
      <x:c r="H516" s="49" t="n">
        <x:v>321046.24</x:v>
      </x:c>
      <x:c r="I516" s="49" t="n">
        <x:v>321853.56</x:v>
      </x:c>
      <x:c r="J516" s="48" t="n">
        <x:f>IF(COUNT(B516:C516)&lt;2,"",B516-C516)</x:f>
        <x:v>88.19</x:v>
      </x:c>
      <x:c r="K516" s="48" t="n">
        <x:f>IF(COUNT(D516,F516)&lt;2,"",D516-F516)</x:f>
        <x:v>189.17</x:v>
      </x:c>
      <x:c r="L516" s="48" t="n">
        <x:f>IF(COUNT(E516,G516)&lt;2,"",E516-G516)</x:f>
        <x:v>81.98</x:v>
      </x:c>
      <x:c r="M516" s="31" t="str">
        <x:v>网站结构化接口</x:v>
      </x:c>
      <x:c r="N516" s="36" t="d">
        <x:v>2026-10-28T14:16:22.777Z</x:v>
      </x:c>
    </x:row>
    <x:row r="517">
      <x:c r="A517" s="36" t="d">
        <x:v>2026-05-31T00:00:00.000Z</x:v>
      </x:c>
      <x:c r="B517" s="48" t="n">
        <x:v>99.69</x:v>
      </x:c>
      <x:c r="C517" s="48" t="n">
        <x:v>81.87</x:v>
      </x:c>
      <x:c r="D517" s="48" t="n">
        <x:v>133.96</x:v>
      </x:c>
      <x:c r="E517" s="48" t="n">
        <x:v>113.2</x:v>
      </x:c>
      <x:c r="F517" s="48" t="n">
        <x:v>24.49</x:v>
      </x:c>
      <x:c r="G517" s="48" t="n">
        <x:v>27.48</x:v>
      </x:c>
      <x:c r="H517" s="49" t="n">
        <x:v>309856.27</x:v>
      </x:c>
      <x:c r="I517" s="49" t="n">
        <x:v>342223.37</x:v>
      </x:c>
      <x:c r="J517" s="48" t="n">
        <x:f>IF(COUNT(B517:C517)&lt;2,"",B517-C517)</x:f>
        <x:v>17.819999999999993</x:v>
      </x:c>
      <x:c r="K517" s="48" t="n">
        <x:f>IF(COUNT(D517,F517)&lt;2,"",D517-F517)</x:f>
        <x:v>109.47000000000001</x:v>
      </x:c>
      <x:c r="L517" s="48" t="n">
        <x:f>IF(COUNT(E517,G517)&lt;2,"",E517-G517)</x:f>
        <x:v>85.72</x:v>
      </x:c>
      <x:c r="M517" s="31" t="str">
        <x:v>网站结构化接口</x:v>
      </x:c>
      <x:c r="N517" s="36" t="d">
        <x:v>2026-10-28T14:16:22.777Z</x:v>
      </x:c>
    </x:row>
    <x:row r="518">
      <x:c r="A518" s="36" t="d">
        <x:v>2026-06-01T00:00:00.000Z</x:v>
      </x:c>
      <x:c r="B518" s="48" t="n">
        <x:v>94.42</x:v>
      </x:c>
      <x:c r="C518" s="48" t="n">
        <x:v>92.03</x:v>
      </x:c>
      <x:c r="D518" s="48" t="n">
        <x:v>116.48</x:v>
      </x:c>
      <x:c r="E518" s="48" t="n">
        <x:v>119.48</x:v>
      </x:c>
      <x:c r="F518" s="48" t="n">
        <x:v>45.52</x:v>
      </x:c>
      <x:c r="G518" s="48" t="n">
        <x:v>41.84</x:v>
      </x:c>
      <x:c r="H518" s="49" t="n">
        <x:v>307020.98</x:v>
      </x:c>
      <x:c r="I518" s="49" t="n">
        <x:v>330306.96</x:v>
      </x:c>
      <x:c r="J518" s="48" t="n">
        <x:f>IF(COUNT(B518:C518)&lt;2,"",B518-C518)</x:f>
        <x:v>2.3900000000000006</x:v>
      </x:c>
      <x:c r="K518" s="48" t="n">
        <x:f>IF(COUNT(D518,F518)&lt;2,"",D518-F518)</x:f>
        <x:v>70.96000000000001</x:v>
      </x:c>
      <x:c r="L518" s="48" t="n">
        <x:f>IF(COUNT(E518,G518)&lt;2,"",E518-G518)</x:f>
        <x:v>77.64</x:v>
      </x:c>
      <x:c r="M518" s="31" t="str">
        <x:v>网站结构化接口</x:v>
      </x:c>
      <x:c r="N518" s="36" t="d">
        <x:v>2026-10-28T14:16:22.777Z</x:v>
      </x:c>
    </x:row>
    <x:row r="519">
      <x:c r="A519" s="36" t="d">
        <x:v>2026-06-02T00:00:00.000Z</x:v>
      </x:c>
      <x:c r="B519" s="48" t="n">
        <x:v>101.49</x:v>
      </x:c>
      <x:c r="C519" s="48" t="n">
        <x:v>112.89</x:v>
      </x:c>
      <x:c r="D519" s="48" t="n">
        <x:v>128.12</x:v>
      </x:c>
      <x:c r="E519" s="48" t="n">
        <x:v>142.85</x:v>
      </x:c>
      <x:c r="F519" s="48" t="n">
        <x:v>53.5</x:v>
      </x:c>
      <x:c r="G519" s="48" t="n">
        <x:v>60.25</x:v>
      </x:c>
      <x:c r="H519" s="49" t="n">
        <x:v>339459.22</x:v>
      </x:c>
      <x:c r="I519" s="49" t="n">
        <x:v>349305.82</x:v>
      </x:c>
      <x:c r="J519" s="48" t="n">
        <x:f>IF(COUNT(B519:C519)&lt;2,"",B519-C519)</x:f>
        <x:v>-11.400000000000006</x:v>
      </x:c>
      <x:c r="K519" s="48" t="n">
        <x:f>IF(COUNT(D519,F519)&lt;2,"",D519-F519)</x:f>
        <x:v>74.62</x:v>
      </x:c>
      <x:c r="L519" s="48" t="n">
        <x:f>IF(COUNT(E519,G519)&lt;2,"",E519-G519)</x:f>
        <x:v>82.6</x:v>
      </x:c>
      <x:c r="M519" s="31" t="str">
        <x:v>网站结构化接口</x:v>
      </x:c>
      <x:c r="N519" s="36" t="d">
        <x:v>2026-10-28T14:16:22.777Z</x:v>
      </x:c>
    </x:row>
    <x:row r="520">
      <x:c r="A520" s="36" t="d">
        <x:v>2026-06-03T00:00:00.000Z</x:v>
      </x:c>
      <x:c r="B520" s="48" t="n">
        <x:v>85.67</x:v>
      </x:c>
      <x:c r="C520" s="48" t="n">
        <x:v>172.4</x:v>
      </x:c>
      <x:c r="D520" s="48" t="n">
        <x:v>116.02</x:v>
      </x:c>
      <x:c r="E520" s="48" t="n">
        <x:v>223.45</x:v>
      </x:c>
      <x:c r="F520" s="48" t="n">
        <x:v>33.57</x:v>
      </x:c>
      <x:c r="G520" s="48" t="n">
        <x:v>76.01</x:v>
      </x:c>
      <x:c r="H520" s="49" t="n">
        <x:v>344870.78</x:v>
      </x:c>
      <x:c r="I520" s="49" t="n">
        <x:v>370860.04</x:v>
      </x:c>
      <x:c r="J520" s="48" t="n">
        <x:f>IF(COUNT(B520:C520)&lt;2,"",B520-C520)</x:f>
        <x:v>-86.73</x:v>
      </x:c>
      <x:c r="K520" s="48" t="n">
        <x:f>IF(COUNT(D520,F520)&lt;2,"",D520-F520)</x:f>
        <x:v>82.44999999999999</x:v>
      </x:c>
      <x:c r="L520" s="48" t="n">
        <x:f>IF(COUNT(E520,G520)&lt;2,"",E520-G520)</x:f>
        <x:v>147.44</x:v>
      </x:c>
      <x:c r="M520" s="31" t="str">
        <x:v>网站结构化接口</x:v>
      </x:c>
      <x:c r="N520" s="36" t="d">
        <x:v>2026-10-28T14:16:22.777Z</x:v>
      </x:c>
    </x:row>
    <x:row r="521">
      <x:c r="A521" s="36" t="d">
        <x:v>2026-06-04T00:00:00.000Z</x:v>
      </x:c>
      <x:c r="B521" s="48" t="n">
        <x:v>197.69</x:v>
      </x:c>
      <x:c r="C521" s="48" t="n">
        <x:v>199.36</x:v>
      </x:c>
      <x:c r="D521" s="48" t="n">
        <x:v>246.6</x:v>
      </x:c>
      <x:c r="E521" s="48" t="n">
        <x:v>248.12</x:v>
      </x:c>
      <x:c r="F521" s="48" t="n">
        <x:v>78.75</x:v>
      </x:c>
      <x:c r="G521" s="48" t="n">
        <x:v>91.17</x:v>
      </x:c>
      <x:c r="H521" s="49" t="n">
        <x:v>375457.94</x:v>
      </x:c>
      <x:c r="I521" s="49" t="n">
        <x:v>382961.79</x:v>
      </x:c>
      <x:c r="J521" s="48" t="n">
        <x:f>IF(COUNT(B521:C521)&lt;2,"",B521-C521)</x:f>
        <x:v>-1.670000000000016</x:v>
      </x:c>
      <x:c r="K521" s="48" t="n">
        <x:f>IF(COUNT(D521,F521)&lt;2,"",D521-F521)</x:f>
        <x:v>167.85</x:v>
      </x:c>
      <x:c r="L521" s="48" t="n">
        <x:f>IF(COUNT(E521,G521)&lt;2,"",E521-G521)</x:f>
        <x:v>156.95</x:v>
      </x:c>
      <x:c r="M521" s="31" t="str">
        <x:v>网站结构化接口</x:v>
      </x:c>
      <x:c r="N521" s="36" t="d">
        <x:v>2026-10-28T14:16:22.777Z</x:v>
      </x:c>
    </x:row>
    <x:row r="522">
      <x:c r="A522" s="36" t="d">
        <x:v>2026-06-05T00:00:00.000Z</x:v>
      </x:c>
      <x:c r="B522" s="48" t="n">
        <x:v>142.06</x:v>
      </x:c>
      <x:c r="C522" s="48" t="n">
        <x:v>121.35</x:v>
      </x:c>
      <x:c r="D522" s="48" t="n">
        <x:v>177.38</x:v>
      </x:c>
      <x:c r="E522" s="48" t="n">
        <x:v>146.53</x:v>
      </x:c>
      <x:c r="F522" s="48" t="n">
        <x:v>82.8</x:v>
      </x:c>
      <x:c r="G522" s="48" t="n">
        <x:v>81.11</x:v>
      </x:c>
      <x:c r="H522" s="49" t="n">
        <x:v>368787.15</x:v>
      </x:c>
      <x:c r="I522" s="49" t="n">
        <x:v>371508.2</x:v>
      </x:c>
      <x:c r="J522" s="48" t="n">
        <x:f>IF(COUNT(B522:C522)&lt;2,"",B522-C522)</x:f>
        <x:v>20.710000000000008</x:v>
      </x:c>
      <x:c r="K522" s="48" t="n">
        <x:f>IF(COUNT(D522,F522)&lt;2,"",D522-F522)</x:f>
        <x:v>94.58</x:v>
      </x:c>
      <x:c r="L522" s="48" t="n">
        <x:f>IF(COUNT(E522,G522)&lt;2,"",E522-G522)</x:f>
        <x:v>65.42</x:v>
      </x:c>
      <x:c r="M522" s="31" t="str">
        <x:v>网站结构化接口</x:v>
      </x:c>
      <x:c r="N522" s="36" t="d">
        <x:v>2026-10-28T14:16:22.777Z</x:v>
      </x:c>
    </x:row>
    <x:row r="523">
      <x:c r="A523" s="36" t="d">
        <x:v>2026-06-06T00:00:00.000Z</x:v>
      </x:c>
      <x:c r="B523" s="48" t="n">
        <x:v>228.75</x:v>
      </x:c>
      <x:c r="C523" s="48" t="n">
        <x:v>181.73</x:v>
      </x:c>
      <x:c r="D523" s="48" t="n">
        <x:v>293.67</x:v>
      </x:c>
      <x:c r="E523" s="48" t="n">
        <x:v>216.49</x:v>
      </x:c>
      <x:c r="F523" s="48" t="n">
        <x:v>109.19</x:v>
      </x:c>
      <x:c r="G523" s="48" t="n">
        <x:v>110.87</x:v>
      </x:c>
      <x:c r="H523" s="49" t="n">
        <x:v>385777.39</x:v>
      </x:c>
      <x:c r="I523" s="49" t="n">
        <x:v>366030.91</x:v>
      </x:c>
      <x:c r="J523" s="48" t="n">
        <x:f>IF(COUNT(B523:C523)&lt;2,"",B523-C523)</x:f>
        <x:v>47.02000000000001</x:v>
      </x:c>
      <x:c r="K523" s="48" t="n">
        <x:f>IF(COUNT(D523,F523)&lt;2,"",D523-F523)</x:f>
        <x:v>184.48000000000002</x:v>
      </x:c>
      <x:c r="L523" s="48" t="n">
        <x:f>IF(COUNT(E523,G523)&lt;2,"",E523-G523)</x:f>
        <x:v>105.62</x:v>
      </x:c>
      <x:c r="M523" s="31" t="str">
        <x:v>网站结构化接口</x:v>
      </x:c>
      <x:c r="N523" s="36" t="d">
        <x:v>2026-10-28T14:16:22.777Z</x:v>
      </x:c>
    </x:row>
    <x:row r="524">
      <x:c r="A524" s="36" t="d">
        <x:v>2026-06-07T00:00:00.000Z</x:v>
      </x:c>
      <x:c r="B524" s="48" t="n">
        <x:v>251.43</x:v>
      </x:c>
      <x:c r="C524" s="48" t="n">
        <x:v>242.25</x:v>
      </x:c>
      <x:c r="D524" s="48" t="n">
        <x:v>318.52</x:v>
      </x:c>
      <x:c r="E524" s="48" t="n">
        <x:v>305.9</x:v>
      </x:c>
      <x:c r="F524" s="48" t="n">
        <x:v>85.28</x:v>
      </x:c>
      <x:c r="G524" s="48" t="n">
        <x:v>68.39</x:v>
      </x:c>
      <x:c r="H524" s="49" t="n">
        <x:v>358400.75</x:v>
      </x:c>
      <x:c r="I524" s="49" t="n">
        <x:v>337900</x:v>
      </x:c>
      <x:c r="J524" s="48" t="n">
        <x:f>IF(COUNT(B524:C524)&lt;2,"",B524-C524)</x:f>
        <x:v>9.180000000000007</x:v>
      </x:c>
      <x:c r="K524" s="48" t="n">
        <x:f>IF(COUNT(D524,F524)&lt;2,"",D524-F524)</x:f>
        <x:v>233.23999999999998</x:v>
      </x:c>
      <x:c r="L524" s="48" t="n">
        <x:f>IF(COUNT(E524,G524)&lt;2,"",E524-G524)</x:f>
        <x:v>237.51</x:v>
      </x:c>
      <x:c r="M524" s="31" t="str">
        <x:v>网站结构化接口</x:v>
      </x:c>
      <x:c r="N524" s="36" t="d">
        <x:v>2026-10-28T14:16:22.777Z</x:v>
      </x:c>
    </x:row>
    <x:row r="525">
      <x:c r="A525" s="36" t="d">
        <x:v>2026-06-08T00:00:00.000Z</x:v>
      </x:c>
      <x:c r="B525" s="48" t="n">
        <x:v>126.68</x:v>
      </x:c>
      <x:c r="C525" s="48" t="n">
        <x:v>112.23</x:v>
      </x:c>
      <x:c r="D525" s="48" t="n">
        <x:v>167.35</x:v>
      </x:c>
      <x:c r="E525" s="48" t="n">
        <x:v>154.34</x:v>
      </x:c>
      <x:c r="F525" s="48" t="n">
        <x:v>44.63</x:v>
      </x:c>
      <x:c r="G525" s="48" t="n">
        <x:v>37.08</x:v>
      </x:c>
      <x:c r="H525" s="49" t="n">
        <x:v>306496.74</x:v>
      </x:c>
      <x:c r="I525" s="49" t="n">
        <x:v>317381.73</x:v>
      </x:c>
      <x:c r="J525" s="48" t="n">
        <x:f>IF(COUNT(B525:C525)&lt;2,"",B525-C525)</x:f>
        <x:v>14.450000000000003</x:v>
      </x:c>
      <x:c r="K525" s="48" t="n">
        <x:f>IF(COUNT(D525,F525)&lt;2,"",D525-F525)</x:f>
        <x:v>122.72</x:v>
      </x:c>
      <x:c r="L525" s="48" t="n">
        <x:f>IF(COUNT(E525,G525)&lt;2,"",E525-G525)</x:f>
        <x:v>117.26</x:v>
      </x:c>
      <x:c r="M525" s="31" t="str">
        <x:v>网站结构化接口</x:v>
      </x:c>
      <x:c r="N525" s="36" t="d">
        <x:v>2026-10-28T14:16:22.777Z</x:v>
      </x:c>
    </x:row>
    <x:row r="526">
      <x:c r="A526" s="36" t="d">
        <x:v>2026-06-09T00:00:00.000Z</x:v>
      </x:c>
      <x:c r="B526" s="48" t="n">
        <x:v>121.66</x:v>
      </x:c>
      <x:c r="C526" s="48" t="n">
        <x:v>124.1</x:v>
      </x:c>
      <x:c r="D526" s="48" t="n">
        <x:v>171.93</x:v>
      </x:c>
      <x:c r="E526" s="48" t="n">
        <x:v>186.53</x:v>
      </x:c>
      <x:c r="F526" s="48" t="n">
        <x:v>28.71</x:v>
      </x:c>
      <x:c r="G526" s="48" t="n">
        <x:v>20.68</x:v>
      </x:c>
      <x:c r="H526" s="49" t="n">
        <x:v>319744.84</x:v>
      </x:c>
      <x:c r="I526" s="49" t="n">
        <x:v>312646.56</x:v>
      </x:c>
      <x:c r="J526" s="48" t="n">
        <x:f>IF(COUNT(B526:C526)&lt;2,"",B526-C526)</x:f>
        <x:v>-2.4399999999999977</x:v>
      </x:c>
      <x:c r="K526" s="48" t="n">
        <x:f>IF(COUNT(D526,F526)&lt;2,"",D526-F526)</x:f>
        <x:v>143.22</x:v>
      </x:c>
      <x:c r="L526" s="48" t="n">
        <x:f>IF(COUNT(E526,G526)&lt;2,"",E526-G526)</x:f>
        <x:v>165.85</x:v>
      </x:c>
      <x:c r="M526" s="31" t="str">
        <x:v>网站结构化接口</x:v>
      </x:c>
      <x:c r="N526" s="36" t="d">
        <x:v>2026-10-28T14:16:22.777Z</x:v>
      </x:c>
    </x:row>
    <x:row r="527">
      <x:c r="A527" s="36" t="d">
        <x:v>2026-06-10T00:00:00.000Z</x:v>
      </x:c>
      <x:c r="B527" s="48" t="n">
        <x:v>227.44</x:v>
      </x:c>
      <x:c r="C527" s="48" t="n">
        <x:v>224.86</x:v>
      </x:c>
      <x:c r="D527" s="48" t="n">
        <x:v>290.85</x:v>
      </x:c>
      <x:c r="E527" s="48" t="n">
        <x:v>287.59</x:v>
      </x:c>
      <x:c r="F527" s="48" t="n">
        <x:v>76.04</x:v>
      </x:c>
      <x:c r="G527" s="48" t="n">
        <x:v>83.51</x:v>
      </x:c>
      <x:c r="H527" s="49" t="n">
        <x:v>347475.8</x:v>
      </x:c>
      <x:c r="I527" s="49" t="n">
        <x:v>362668.82</x:v>
      </x:c>
      <x:c r="J527" s="48" t="n">
        <x:f>IF(COUNT(B527:C527)&lt;2,"",B527-C527)</x:f>
        <x:v>2.579999999999984</x:v>
      </x:c>
      <x:c r="K527" s="48" t="n">
        <x:f>IF(COUNT(D527,F527)&lt;2,"",D527-F527)</x:f>
        <x:v>214.81</x:v>
      </x:c>
      <x:c r="L527" s="48" t="n">
        <x:f>IF(COUNT(E527,G527)&lt;2,"",E527-G527)</x:f>
        <x:v>204.07999999999998</x:v>
      </x:c>
      <x:c r="M527" s="31" t="str">
        <x:v>网站结构化接口</x:v>
      </x:c>
      <x:c r="N527" s="36" t="d">
        <x:v>2026-10-28T14:16:22.777Z</x:v>
      </x:c>
    </x:row>
    <x:row r="528">
      <x:c r="A528" s="36" t="d">
        <x:v>2026-06-11T00:00:00.000Z</x:v>
      </x:c>
      <x:c r="B528" s="48" t="n">
        <x:v>154.68</x:v>
      </x:c>
      <x:c r="C528" s="48" t="n">
        <x:v>140.81</x:v>
      </x:c>
      <x:c r="D528" s="48" t="n">
        <x:v>200.29</x:v>
      </x:c>
      <x:c r="E528" s="48" t="n">
        <x:v>188.45</x:v>
      </x:c>
      <x:c r="F528" s="48" t="n">
        <x:v>82.91</x:v>
      </x:c>
      <x:c r="G528" s="48" t="n">
        <x:v>74.08</x:v>
      </x:c>
      <x:c r="H528" s="49" t="n">
        <x:v>361565.77</x:v>
      </x:c>
      <x:c r="I528" s="49" t="n">
        <x:v>372884.17</x:v>
      </x:c>
      <x:c r="J528" s="48" t="n">
        <x:f>IF(COUNT(B528:C528)&lt;2,"",B528-C528)</x:f>
        <x:v>13.870000000000005</x:v>
      </x:c>
      <x:c r="K528" s="48" t="n">
        <x:f>IF(COUNT(D528,F528)&lt;2,"",D528-F528)</x:f>
        <x:v>117.38</x:v>
      </x:c>
      <x:c r="L528" s="48" t="n">
        <x:f>IF(COUNT(E528,G528)&lt;2,"",E528-G528)</x:f>
        <x:v>114.36999999999999</x:v>
      </x:c>
      <x:c r="M528" s="31" t="str">
        <x:v>网站结构化接口</x:v>
      </x:c>
      <x:c r="N528" s="36" t="d">
        <x:v>2026-10-28T14:16:22.777Z</x:v>
      </x:c>
    </x:row>
    <x:row r="529">
      <x:c r="A529" s="36" t="d">
        <x:v>2026-06-12T00:00:00.000Z</x:v>
      </x:c>
      <x:c r="B529" s="48" t="n">
        <x:v>89.52</x:v>
      </x:c>
      <x:c r="C529" s="48" t="n">
        <x:v>69.94</x:v>
      </x:c>
      <x:c r="D529" s="48" t="n">
        <x:v>124.35</x:v>
      </x:c>
      <x:c r="E529" s="48" t="n">
        <x:v>98.17</x:v>
      </x:c>
      <x:c r="F529" s="48" t="n">
        <x:v>48.15</x:v>
      </x:c>
      <x:c r="G529" s="48" t="n">
        <x:v>38.33</x:v>
      </x:c>
      <x:c r="H529" s="49" t="n">
        <x:v>349766.03</x:v>
      </x:c>
      <x:c r="I529" s="49" t="n">
        <x:v>353477.41</x:v>
      </x:c>
      <x:c r="J529" s="48" t="n">
        <x:f>IF(COUNT(B529:C529)&lt;2,"",B529-C529)</x:f>
        <x:v>19.58</x:v>
      </x:c>
      <x:c r="K529" s="48" t="n">
        <x:f>IF(COUNT(D529,F529)&lt;2,"",D529-F529)</x:f>
        <x:v>76.19999999999999</x:v>
      </x:c>
      <x:c r="L529" s="48" t="n">
        <x:f>IF(COUNT(E529,G529)&lt;2,"",E529-G529)</x:f>
        <x:v>59.84</x:v>
      </x:c>
      <x:c r="M529" s="31" t="str">
        <x:v>网站结构化接口</x:v>
      </x:c>
      <x:c r="N529" s="36" t="d">
        <x:v>2026-10-28T14:16:22.777Z</x:v>
      </x:c>
    </x:row>
    <x:row r="530">
      <x:c r="A530" s="36" t="d">
        <x:v>2026-06-13T00:00:00.000Z</x:v>
      </x:c>
      <x:c r="B530" s="48" t="n">
        <x:v>163.22</x:v>
      </x:c>
      <x:c r="C530" s="48" t="n">
        <x:v>134.97</x:v>
      </x:c>
      <x:c r="D530" s="48" t="n">
        <x:v>225.88</x:v>
      </x:c>
      <x:c r="E530" s="48" t="n">
        <x:v>186.35</x:v>
      </x:c>
      <x:c r="F530" s="48" t="n">
        <x:v>60.09</x:v>
      </x:c>
      <x:c r="G530" s="48" t="n">
        <x:v>52.18</x:v>
      </x:c>
      <x:c r="H530" s="49" t="n">
        <x:v>1434893.05</x:v>
      </x:c>
      <x:c r="I530" s="49" t="n">
        <x:v>1366435.75</x:v>
      </x:c>
      <x:c r="J530" s="48" t="n">
        <x:f>IF(COUNT(B530:C530)&lt;2,"",B530-C530)</x:f>
        <x:v>28.25</x:v>
      </x:c>
      <x:c r="K530" s="48" t="n">
        <x:f>IF(COUNT(D530,F530)&lt;2,"",D530-F530)</x:f>
        <x:v>165.79</x:v>
      </x:c>
      <x:c r="L530" s="48" t="n">
        <x:f>IF(COUNT(E530,G530)&lt;2,"",E530-G530)</x:f>
        <x:v>134.17</x:v>
      </x:c>
      <x:c r="M530" s="31" t="str">
        <x:v>网站结构化接口</x:v>
      </x:c>
      <x:c r="N530" s="36" t="d">
        <x:v>2026-10-28T14:16:22.777Z</x:v>
      </x:c>
    </x:row>
    <x:row r="531">
      <x:c r="A531" s="36" t="d">
        <x:v>2026-06-14T00:00:00.000Z</x:v>
      </x:c>
      <x:c r="B531" s="48" t="n">
        <x:v>162.94</x:v>
      </x:c>
      <x:c r="C531" s="48" t="n">
        <x:v>164.84</x:v>
      </x:c>
      <x:c r="D531" s="48" t="n">
        <x:v>205.79</x:v>
      </x:c>
      <x:c r="E531" s="48" t="n">
        <x:v>204.05</x:v>
      </x:c>
      <x:c r="F531" s="48" t="n">
        <x:v>76.22</x:v>
      </x:c>
      <x:c r="G531" s="48" t="n">
        <x:v>93.62</x:v>
      </x:c>
      <x:c r="H531" s="49" t="n">
        <x:v>1512624.85</x:v>
      </x:c>
      <x:c r="I531" s="49" t="n">
        <x:v>1494945.42</x:v>
      </x:c>
      <x:c r="J531" s="48" t="n">
        <x:f>IF(COUNT(B531:C531)&lt;2,"",B531-C531)</x:f>
        <x:v>-1.9000000000000057</x:v>
      </x:c>
      <x:c r="K531" s="48" t="n">
        <x:f>IF(COUNT(D531,F531)&lt;2,"",D531-F531)</x:f>
        <x:v>129.57</x:v>
      </x:c>
      <x:c r="L531" s="48" t="n">
        <x:f>IF(COUNT(E531,G531)&lt;2,"",E531-G531)</x:f>
        <x:v>110.43</x:v>
      </x:c>
      <x:c r="M531" s="31" t="str">
        <x:v>网站结构化接口</x:v>
      </x:c>
      <x:c r="N531" s="36" t="d">
        <x:v>2026-10-28T14:16:22.777Z</x:v>
      </x:c>
    </x:row>
    <x:row r="532">
      <x:c r="A532" s="36" t="d">
        <x:v>2026-06-15T00:00:00.000Z</x:v>
      </x:c>
      <x:c r="B532" s="48" t="n">
        <x:v>66.38</x:v>
      </x:c>
      <x:c r="C532" s="48" t="n">
        <x:v>82.17</x:v>
      </x:c>
      <x:c r="D532" s="48" t="n">
        <x:v>97.66</x:v>
      </x:c>
      <x:c r="E532" s="48" t="n">
        <x:v>118.19</x:v>
      </x:c>
      <x:c r="F532" s="48" t="n">
        <x:v>20.64</x:v>
      </x:c>
      <x:c r="G532" s="48" t="n">
        <x:v>32.24</x:v>
      </x:c>
      <x:c r="H532" s="49" t="n">
        <x:v>1535641.95</x:v>
      </x:c>
      <x:c r="I532" s="49" t="n">
        <x:v>1606556.02</x:v>
      </x:c>
      <x:c r="J532" s="48" t="n">
        <x:f>IF(COUNT(B532:C532)&lt;2,"",B532-C532)</x:f>
        <x:v>-15.790000000000006</x:v>
      </x:c>
      <x:c r="K532" s="48" t="n">
        <x:f>IF(COUNT(D532,F532)&lt;2,"",D532-F532)</x:f>
        <x:v>77.02</x:v>
      </x:c>
      <x:c r="L532" s="48" t="n">
        <x:f>IF(COUNT(E532,G532)&lt;2,"",E532-G532)</x:f>
        <x:v>85.94999999999999</x:v>
      </x:c>
      <x:c r="M532" s="31" t="str">
        <x:v>网站结构化接口</x:v>
      </x:c>
      <x:c r="N532" s="36" t="d">
        <x:v>2026-10-28T14:16:22.777Z</x:v>
      </x:c>
    </x:row>
    <x:row r="533">
      <x:c r="A533" s="36" t="d">
        <x:v>2026-06-16T00:00:00.000Z</x:v>
      </x:c>
      <x:c r="B533" s="48" t="n">
        <x:v>172.99</x:v>
      </x:c>
      <x:c r="C533" s="48" t="n">
        <x:v>175.3</x:v>
      </x:c>
      <x:c r="D533" s="48" t="n">
        <x:v>237.11</x:v>
      </x:c>
      <x:c r="E533" s="48" t="n">
        <x:v>232.52</x:v>
      </x:c>
      <x:c r="F533" s="48" t="n">
        <x:v>70.31</x:v>
      </x:c>
      <x:c r="G533" s="48" t="n">
        <x:v>82.28</x:v>
      </x:c>
      <x:c r="H533" s="49" t="n">
        <x:v>1777192.46</x:v>
      </x:c>
      <x:c r="I533" s="49" t="n">
        <x:v>1795256.93</x:v>
      </x:c>
      <x:c r="J533" s="48" t="n">
        <x:f>IF(COUNT(B533:C533)&lt;2,"",B533-C533)</x:f>
        <x:v>-2.3100000000000023</x:v>
      </x:c>
      <x:c r="K533" s="48" t="n">
        <x:f>IF(COUNT(D533,F533)&lt;2,"",D533-F533)</x:f>
        <x:v>166.8</x:v>
      </x:c>
      <x:c r="L533" s="48" t="n">
        <x:f>IF(COUNT(E533,G533)&lt;2,"",E533-G533)</x:f>
        <x:v>150.24</x:v>
      </x:c>
      <x:c r="M533" s="31" t="str">
        <x:v>网站结构化接口</x:v>
      </x:c>
      <x:c r="N533" s="36" t="d">
        <x:v>2026-10-28T14:16:22.777Z</x:v>
      </x:c>
    </x:row>
    <x:row r="534">
      <x:c r="A534" s="36" t="d">
        <x:v>2026-06-17T00:00:00.000Z</x:v>
      </x:c>
      <x:c r="B534" s="48" t="n">
        <x:v>157.75</x:v>
      </x:c>
      <x:c r="C534" s="48" t="n">
        <x:v>241.27</x:v>
      </x:c>
      <x:c r="D534" s="48" t="n">
        <x:v>186.77</x:v>
      </x:c>
      <x:c r="E534" s="48" t="n">
        <x:v>264.23</x:v>
      </x:c>
      <x:c r="F534" s="48" t="n">
        <x:v>95.55</x:v>
      </x:c>
      <x:c r="G534" s="48" t="n">
        <x:v>184.39</x:v>
      </x:c>
      <x:c r="H534" s="49" t="n">
        <x:v>1696438.02</x:v>
      </x:c>
      <x:c r="I534" s="49" t="n">
        <x:v>1898969.21</x:v>
      </x:c>
      <x:c r="J534" s="48" t="n">
        <x:f>IF(COUNT(B534:C534)&lt;2,"",B534-C534)</x:f>
        <x:v>-83.52000000000001</x:v>
      </x:c>
      <x:c r="K534" s="48" t="n">
        <x:f>IF(COUNT(D534,F534)&lt;2,"",D534-F534)</x:f>
        <x:v>91.22000000000001</x:v>
      </x:c>
      <x:c r="L534" s="48" t="n">
        <x:f>IF(COUNT(E534,G534)&lt;2,"",E534-G534)</x:f>
        <x:v>79.84000000000003</x:v>
      </x:c>
      <x:c r="M534" s="31" t="str">
        <x:v>网站结构化接口</x:v>
      </x:c>
      <x:c r="N534" s="36" t="d">
        <x:v>2026-10-28T14:16:22.777Z</x:v>
      </x:c>
    </x:row>
    <x:row r="535">
      <x:c r="A535" s="36" t="d">
        <x:v>2026-06-18T00:00:00.000Z</x:v>
      </x:c>
      <x:c r="B535" s="48" t="n">
        <x:v>313.63</x:v>
      </x:c>
      <x:c r="C535" s="48" t="n">
        <x:v>303.97</x:v>
      </x:c>
      <x:c r="D535" s="48" t="n">
        <x:v>322.03</x:v>
      </x:c>
      <x:c r="E535" s="48" t="n">
        <x:v>311.93</x:v>
      </x:c>
      <x:c r="F535" s="48" t="n">
        <x:v>282.63</x:v>
      </x:c>
      <x:c r="G535" s="48" t="n">
        <x:v>269.02</x:v>
      </x:c>
      <x:c r="H535" s="49" t="n">
        <x:v>1841860.83</x:v>
      </x:c>
      <x:c r="I535" s="49" t="n">
        <x:v>1780420.96</x:v>
      </x:c>
      <x:c r="J535" s="48" t="n">
        <x:f>IF(COUNT(B535:C535)&lt;2,"",B535-C535)</x:f>
        <x:v>9.659999999999968</x:v>
      </x:c>
      <x:c r="K535" s="48" t="n">
        <x:f>IF(COUNT(D535,F535)&lt;2,"",D535-F535)</x:f>
        <x:v>39.39999999999998</x:v>
      </x:c>
      <x:c r="L535" s="48" t="n">
        <x:f>IF(COUNT(E535,G535)&lt;2,"",E535-G535)</x:f>
        <x:v>42.910000000000025</x:v>
      </x:c>
      <x:c r="M535" s="31" t="str">
        <x:v>网站结构化接口</x:v>
      </x:c>
      <x:c r="N535" s="36" t="d">
        <x:v>2026-10-28T14:16:22.777Z</x:v>
      </x:c>
    </x:row>
    <x:row r="536">
      <x:c r="A536" s="36" t="d">
        <x:v>2026-06-19T00:00:00.000Z</x:v>
      </x:c>
      <x:c r="B536" s="48" t="n">
        <x:v>183.77</x:v>
      </x:c>
      <x:c r="C536" s="48" t="n">
        <x:v>186.73</x:v>
      </x:c>
      <x:c r="D536" s="48" t="n">
        <x:v>223.84</x:v>
      </x:c>
      <x:c r="E536" s="48" t="n">
        <x:v>225.77</x:v>
      </x:c>
      <x:c r="F536" s="48" t="n">
        <x:v>87.01</x:v>
      </x:c>
      <x:c r="G536" s="48" t="n">
        <x:v>83.52</x:v>
      </x:c>
      <x:c r="H536" s="49" t="n">
        <x:v>1555639.89</x:v>
      </x:c>
      <x:c r="I536" s="49" t="n">
        <x:v>1510325.53</x:v>
      </x:c>
      <x:c r="J536" s="48" t="n">
        <x:f>IF(COUNT(B536:C536)&lt;2,"",B536-C536)</x:f>
        <x:v>-2.9599999999999795</x:v>
      </x:c>
      <x:c r="K536" s="48" t="n">
        <x:f>IF(COUNT(D536,F536)&lt;2,"",D536-F536)</x:f>
        <x:v>136.82999999999998</x:v>
      </x:c>
      <x:c r="L536" s="48" t="n">
        <x:f>IF(COUNT(E536,G536)&lt;2,"",E536-G536)</x:f>
        <x:v>142.25</x:v>
      </x:c>
      <x:c r="M536" s="31" t="str">
        <x:v>网站结构化接口</x:v>
      </x:c>
      <x:c r="N536" s="36" t="d">
        <x:v>2026-10-28T14:16:22.777Z</x:v>
      </x:c>
    </x:row>
    <x:row r="537">
      <x:c r="A537" s="36" t="d">
        <x:v>2026-06-20T00:00:00.000Z</x:v>
      </x:c>
      <x:c r="B537" s="48" t="n">
        <x:v>202.2</x:v>
      </x:c>
      <x:c r="C537" s="48" t="n">
        <x:v>197.45</x:v>
      </x:c>
      <x:c r="D537" s="48" t="n">
        <x:v>222.9</x:v>
      </x:c>
      <x:c r="E537" s="48" t="n">
        <x:v>225.1</x:v>
      </x:c>
      <x:c r="F537" s="48" t="n">
        <x:v>154.44</x:v>
      </x:c>
      <x:c r="G537" s="48" t="n">
        <x:v>126.35</x:v>
      </x:c>
      <x:c r="H537" s="49" t="n">
        <x:v>1530562.93</x:v>
      </x:c>
      <x:c r="I537" s="49" t="n">
        <x:v>1485504.71</x:v>
      </x:c>
      <x:c r="J537" s="48" t="n">
        <x:f>IF(COUNT(B537:C537)&lt;2,"",B537-C537)</x:f>
        <x:v>4.75</x:v>
      </x:c>
      <x:c r="K537" s="48" t="n">
        <x:f>IF(COUNT(D537,F537)&lt;2,"",D537-F537)</x:f>
        <x:v>68.46000000000001</x:v>
      </x:c>
      <x:c r="L537" s="48" t="n">
        <x:f>IF(COUNT(E537,G537)&lt;2,"",E537-G537)</x:f>
        <x:v>98.75</x:v>
      </x:c>
      <x:c r="M537" s="31" t="str">
        <x:v>网站结构化接口</x:v>
      </x:c>
      <x:c r="N537" s="36" t="d">
        <x:v>2026-10-28T14:16:22.777Z</x:v>
      </x:c>
    </x:row>
    <x:row r="538">
      <x:c r="A538" s="36" t="d">
        <x:v>2026-06-21T00:00:00.000Z</x:v>
      </x:c>
      <x:c r="B538" s="48" t="n">
        <x:v>253.31</x:v>
      </x:c>
      <x:c r="C538" s="48" t="n">
        <x:v>228.83</x:v>
      </x:c>
      <x:c r="D538" s="48" t="n">
        <x:v>271.04</x:v>
      </x:c>
      <x:c r="E538" s="48" t="n">
        <x:v>242.92</x:v>
      </x:c>
      <x:c r="F538" s="48" t="n">
        <x:v>189.85</x:v>
      </x:c>
      <x:c r="G538" s="48" t="n">
        <x:v>183</x:v>
      </x:c>
      <x:c r="H538" s="49" t="n">
        <x:v>1548825.36</x:v>
      </x:c>
      <x:c r="I538" s="49" t="n">
        <x:v>1482151.71</x:v>
      </x:c>
      <x:c r="J538" s="48" t="n">
        <x:f>IF(COUNT(B538:C538)&lt;2,"",B538-C538)</x:f>
        <x:v>24.47999999999999</x:v>
      </x:c>
      <x:c r="K538" s="48" t="n">
        <x:f>IF(COUNT(D538,F538)&lt;2,"",D538-F538)</x:f>
        <x:v>81.19000000000003</x:v>
      </x:c>
      <x:c r="L538" s="48" t="n">
        <x:f>IF(COUNT(E538,G538)&lt;2,"",E538-G538)</x:f>
        <x:v>59.91999999999999</x:v>
      </x:c>
      <x:c r="M538" s="31" t="str">
        <x:v>网站结构化接口</x:v>
      </x:c>
      <x:c r="N538" s="36" t="d">
        <x:v>2026-10-28T14:16:22.777Z</x:v>
      </x:c>
    </x:row>
    <x:row r="539">
      <x:c r="A539" s="36" t="d">
        <x:v>2026-06-22T00:00:00.000Z</x:v>
      </x:c>
      <x:c r="B539" s="48" t="n">
        <x:v>221.2</x:v>
      </x:c>
      <x:c r="C539" s="48" t="n">
        <x:v>128.29</x:v>
      </x:c>
      <x:c r="D539" s="48" t="n">
        <x:v>250.52</x:v>
      </x:c>
      <x:c r="E539" s="48" t="n">
        <x:v>150.22</x:v>
      </x:c>
      <x:c r="F539" s="48" t="n">
        <x:v>153.23</x:v>
      </x:c>
      <x:c r="G539" s="48" t="n">
        <x:v>93.19</x:v>
      </x:c>
      <x:c r="H539" s="49" t="n">
        <x:v>1586704.04</x:v>
      </x:c>
      <x:c r="I539" s="49" t="n">
        <x:v>1409569.49</x:v>
      </x:c>
      <x:c r="J539" s="48" t="n">
        <x:f>IF(COUNT(B539:C539)&lt;2,"",B539-C539)</x:f>
        <x:v>92.91</x:v>
      </x:c>
      <x:c r="K539" s="48" t="n">
        <x:f>IF(COUNT(D539,F539)&lt;2,"",D539-F539)</x:f>
        <x:v>97.29000000000002</x:v>
      </x:c>
      <x:c r="L539" s="48" t="n">
        <x:f>IF(COUNT(E539,G539)&lt;2,"",E539-G539)</x:f>
        <x:v>57.03</x:v>
      </x:c>
      <x:c r="M539" s="31" t="str">
        <x:v>网站结构化接口</x:v>
      </x:c>
      <x:c r="N539" s="36" t="d">
        <x:v>2026-10-28T14:16:22.777Z</x:v>
      </x:c>
    </x:row>
    <x:row r="540">
      <x:c r="A540" s="36" t="d">
        <x:v>2026-06-23T00:00:00.000Z</x:v>
      </x:c>
      <x:c r="B540" s="48" t="n">
        <x:v>225.96</x:v>
      </x:c>
      <x:c r="C540" s="48" t="n">
        <x:v>230.76</x:v>
      </x:c>
      <x:c r="D540" s="48" t="n">
        <x:v>259.29</x:v>
      </x:c>
      <x:c r="E540" s="48" t="n">
        <x:v>277.58</x:v>
      </x:c>
      <x:c r="F540" s="48" t="n">
        <x:v>154.78</x:v>
      </x:c>
      <x:c r="G540" s="48" t="n">
        <x:v>134.82</x:v>
      </x:c>
      <x:c r="H540" s="49" t="n">
        <x:v>1579651.47</x:v>
      </x:c>
      <x:c r="I540" s="49" t="n">
        <x:v>1578754.39</x:v>
      </x:c>
      <x:c r="J540" s="48" t="n">
        <x:f>IF(COUNT(B540:C540)&lt;2,"",B540-C540)</x:f>
        <x:v>-4.799999999999983</x:v>
      </x:c>
      <x:c r="K540" s="48" t="n">
        <x:f>IF(COUNT(D540,F540)&lt;2,"",D540-F540)</x:f>
        <x:v>104.51000000000002</x:v>
      </x:c>
      <x:c r="L540" s="48" t="n">
        <x:f>IF(COUNT(E540,G540)&lt;2,"",E540-G540)</x:f>
        <x:v>142.76</x:v>
      </x:c>
      <x:c r="M540" s="31" t="str">
        <x:v>网站结构化接口</x:v>
      </x:c>
      <x:c r="N540" s="36" t="d">
        <x:v>2026-10-28T14:16:22.777Z</x:v>
      </x:c>
    </x:row>
    <x:row r="541">
      <x:c r="A541" s="36" t="d">
        <x:v>2026-06-24T00:00:00.000Z</x:v>
      </x:c>
      <x:c r="B541" s="48" t="n">
        <x:v>212.58</x:v>
      </x:c>
      <x:c r="C541" s="48" t="n">
        <x:v>285.23</x:v>
      </x:c>
      <x:c r="D541" s="48" t="n">
        <x:v>247.1</x:v>
      </x:c>
      <x:c r="E541" s="48" t="n">
        <x:v>343.16</x:v>
      </x:c>
      <x:c r="F541" s="48" t="n">
        <x:v>136.6</x:v>
      </x:c>
      <x:c r="G541" s="48" t="n">
        <x:v>151.13</x:v>
      </x:c>
      <x:c r="H541" s="49" t="n">
        <x:v>1614294.31</x:v>
      </x:c>
      <x:c r="I541" s="49" t="n">
        <x:v>1589115.58</x:v>
      </x:c>
      <x:c r="J541" s="48" t="n">
        <x:f>IF(COUNT(B541:C541)&lt;2,"",B541-C541)</x:f>
        <x:v>-72.65</x:v>
      </x:c>
      <x:c r="K541" s="48" t="n">
        <x:f>IF(COUNT(D541,F541)&lt;2,"",D541-F541)</x:f>
        <x:v>110.5</x:v>
      </x:c>
      <x:c r="L541" s="48" t="n">
        <x:f>IF(COUNT(E541,G541)&lt;2,"",E541-G541)</x:f>
        <x:v>192.03000000000003</x:v>
      </x:c>
      <x:c r="M541" s="31" t="str">
        <x:v>网站结构化接口</x:v>
      </x:c>
      <x:c r="N541" s="36" t="d">
        <x:v>2026-10-28T14:16:22.777Z</x:v>
      </x:c>
    </x:row>
    <x:row r="542">
      <x:c r="A542" s="36" t="d">
        <x:v>2026-06-25T00:00:00.000Z</x:v>
      </x:c>
      <x:c r="B542" s="48" t="n">
        <x:v>278.9</x:v>
      </x:c>
      <x:c r="C542" s="48" t="n">
        <x:v>234.25</x:v>
      </x:c>
      <x:c r="D542" s="48" t="n">
        <x:v>288.31</x:v>
      </x:c>
      <x:c r="E542" s="48" t="n">
        <x:v>274.63</x:v>
      </x:c>
      <x:c r="F542" s="48" t="n">
        <x:v>244.63</x:v>
      </x:c>
      <x:c r="G542" s="48" t="n">
        <x:v>114.93</x:v>
      </x:c>
      <x:c r="H542" s="49" t="n">
        <x:v>1773540.96</x:v>
      </x:c>
      <x:c r="I542" s="49" t="n">
        <x:v>1673686.18</x:v>
      </x:c>
      <x:c r="J542" s="48" t="n">
        <x:f>IF(COUNT(B542:C542)&lt;2,"",B542-C542)</x:f>
        <x:v>44.64999999999998</x:v>
      </x:c>
      <x:c r="K542" s="48" t="n">
        <x:f>IF(COUNT(D542,F542)&lt;2,"",D542-F542)</x:f>
        <x:v>43.68000000000001</x:v>
      </x:c>
      <x:c r="L542" s="48" t="n">
        <x:f>IF(COUNT(E542,G542)&lt;2,"",E542-G542)</x:f>
        <x:v>159.7</x:v>
      </x:c>
      <x:c r="M542" s="31" t="str">
        <x:v>网站结构化接口</x:v>
      </x:c>
      <x:c r="N542" s="36" t="d">
        <x:v>2026-10-28T14:16:22.777Z</x:v>
      </x:c>
    </x:row>
    <x:row r="543">
      <x:c r="A543" s="36" t="d">
        <x:v>2026-06-26T00:00:00.000Z</x:v>
      </x:c>
      <x:c r="B543" s="48" t="n">
        <x:v>197.28</x:v>
      </x:c>
      <x:c r="C543" s="48" t="n">
        <x:v>215.34</x:v>
      </x:c>
      <x:c r="D543" s="48" t="n">
        <x:v>237.58</x:v>
      </x:c>
      <x:c r="E543" s="48" t="n">
        <x:v>255.47</x:v>
      </x:c>
      <x:c r="F543" s="48" t="n">
        <x:v>80.87</x:v>
      </x:c>
      <x:c r="G543" s="48" t="n">
        <x:v>101.76</x:v>
      </x:c>
      <x:c r="H543" s="49" t="n">
        <x:v>1688816.49</x:v>
      </x:c>
      <x:c r="I543" s="49" t="n">
        <x:v>1705411.92</x:v>
      </x:c>
      <x:c r="J543" s="48" t="n">
        <x:f>IF(COUNT(B543:C543)&lt;2,"",B543-C543)</x:f>
        <x:v>-18.060000000000002</x:v>
      </x:c>
      <x:c r="K543" s="48" t="n">
        <x:f>IF(COUNT(D543,F543)&lt;2,"",D543-F543)</x:f>
        <x:v>156.71</x:v>
      </x:c>
      <x:c r="L543" s="48" t="n">
        <x:f>IF(COUNT(E543,G543)&lt;2,"",E543-G543)</x:f>
        <x:v>153.70999999999998</x:v>
      </x:c>
      <x:c r="M543" s="31" t="str">
        <x:v>网站结构化接口</x:v>
      </x:c>
      <x:c r="N543" s="36" t="d">
        <x:v>2026-10-28T14:16:22.777Z</x:v>
      </x:c>
    </x:row>
    <x:row r="544">
      <x:c r="A544" s="36" t="d">
        <x:v>2026-06-27T00:00:00.000Z</x:v>
      </x:c>
      <x:c r="B544" s="48" t="n">
        <x:v>169.9</x:v>
      </x:c>
      <x:c r="C544" s="48" t="n">
        <x:v>140.51</x:v>
      </x:c>
      <x:c r="D544" s="48" t="n">
        <x:v>209.11</x:v>
      </x:c>
      <x:c r="E544" s="48" t="n">
        <x:v>169.7</x:v>
      </x:c>
      <x:c r="F544" s="48" t="n">
        <x:v>87.21</x:v>
      </x:c>
      <x:c r="G544" s="48" t="n">
        <x:v>87.42</x:v>
      </x:c>
      <x:c r="H544" s="49" t="n">
        <x:v>1699044.05</x:v>
      </x:c>
      <x:c r="I544" s="49" t="n">
        <x:v>1705618.3</x:v>
      </x:c>
      <x:c r="J544" s="48" t="n">
        <x:f>IF(COUNT(B544:C544)&lt;2,"",B544-C544)</x:f>
        <x:v>29.390000000000015</x:v>
      </x:c>
      <x:c r="K544" s="48" t="n">
        <x:f>IF(COUNT(D544,F544)&lt;2,"",D544-F544)</x:f>
        <x:v>121.90000000000002</x:v>
      </x:c>
      <x:c r="L544" s="48" t="n">
        <x:f>IF(COUNT(E544,G544)&lt;2,"",E544-G544)</x:f>
        <x:v>82.27999999999999</x:v>
      </x:c>
      <x:c r="M544" s="31" t="str">
        <x:v>网站结构化接口</x:v>
      </x:c>
      <x:c r="N544" s="36" t="d">
        <x:v>2026-10-28T14:16:22.777Z</x:v>
      </x:c>
    </x:row>
    <x:row r="545">
      <x:c r="A545" s="36" t="d">
        <x:v>2026-06-28T00:00:00.000Z</x:v>
      </x:c>
      <x:c r="B545" s="48" t="n">
        <x:v>145.55</x:v>
      </x:c>
      <x:c r="C545" s="48" t="n">
        <x:v>124.06</x:v>
      </x:c>
      <x:c r="D545" s="48" t="n">
        <x:v>181.25</x:v>
      </x:c>
      <x:c r="E545" s="48" t="n">
        <x:v>154.14</x:v>
      </x:c>
      <x:c r="F545" s="48" t="n">
        <x:v>77.87</x:v>
      </x:c>
      <x:c r="G545" s="48" t="n">
        <x:v>70.66</x:v>
      </x:c>
      <x:c r="H545" s="49" t="n">
        <x:v>1729928.13</x:v>
      </x:c>
      <x:c r="I545" s="49" t="n">
        <x:v>1705786.1</x:v>
      </x:c>
      <x:c r="J545" s="48" t="n">
        <x:f>IF(COUNT(B545:C545)&lt;2,"",B545-C545)</x:f>
        <x:v>21.49000000000001</x:v>
      </x:c>
      <x:c r="K545" s="48" t="n">
        <x:f>IF(COUNT(D545,F545)&lt;2,"",D545-F545)</x:f>
        <x:v>103.38</x:v>
      </x:c>
      <x:c r="L545" s="48" t="n">
        <x:f>IF(COUNT(E545,G545)&lt;2,"",E545-G545)</x:f>
        <x:v>83.47999999999999</x:v>
      </x:c>
      <x:c r="M545" s="31" t="str">
        <x:v>网站结构化接口</x:v>
      </x:c>
      <x:c r="N545" s="36" t="d">
        <x:v>2026-10-28T14:16:22.777Z</x:v>
      </x:c>
    </x:row>
    <x:row r="546">
      <x:c r="A546" s="36" t="d">
        <x:v>2026-06-29T00:00:00.000Z</x:v>
      </x:c>
      <x:c r="B546" s="48" t="n">
        <x:v>157.58</x:v>
      </x:c>
      <x:c r="C546" s="48" t="n">
        <x:v>134.43</x:v>
      </x:c>
      <x:c r="D546" s="48" t="n">
        <x:v>191.11</x:v>
      </x:c>
      <x:c r="E546" s="48" t="n">
        <x:v>153.89</x:v>
      </x:c>
      <x:c r="F546" s="48" t="n">
        <x:v>90.03</x:v>
      </x:c>
      <x:c r="G546" s="48" t="n">
        <x:v>96.27</x:v>
      </x:c>
      <x:c r="H546" s="49" t="n">
        <x:v>1838704.79</x:v>
      </x:c>
      <x:c r="I546" s="49" t="n">
        <x:v>1819553.89</x:v>
      </x:c>
      <x:c r="J546" s="48" t="n">
        <x:f>IF(COUNT(B546:C546)&lt;2,"",B546-C546)</x:f>
        <x:v>23.150000000000006</x:v>
      </x:c>
      <x:c r="K546" s="48" t="n">
        <x:f>IF(COUNT(D546,F546)&lt;2,"",D546-F546)</x:f>
        <x:v>101.08000000000001</x:v>
      </x:c>
      <x:c r="L546" s="48" t="n">
        <x:f>IF(COUNT(E546,G546)&lt;2,"",E546-G546)</x:f>
        <x:v>57.61999999999999</x:v>
      </x:c>
      <x:c r="M546" s="31" t="str">
        <x:v>网站结构化接口</x:v>
      </x:c>
      <x:c r="N546" s="36" t="d">
        <x:v>2026-10-28T14:16:22.777Z</x:v>
      </x:c>
    </x:row>
    <x:row r="547">
      <x:c r="A547" s="36" t="d">
        <x:v>2026-06-30T00:00:00.000Z</x:v>
      </x:c>
      <x:c r="B547" s="48" t="n">
        <x:v>260.45</x:v>
      </x:c>
      <x:c r="C547" s="48" t="n">
        <x:v>220.02</x:v>
      </x:c>
      <x:c r="D547" s="48" t="n">
        <x:v>295.32</x:v>
      </x:c>
      <x:c r="E547" s="48" t="n">
        <x:v>249.76</x:v>
      </x:c>
      <x:c r="F547" s="48" t="n">
        <x:v>159.93</x:v>
      </x:c>
      <x:c r="G547" s="48" t="n">
        <x:v>149.46</x:v>
      </x:c>
      <x:c r="H547" s="49" t="n">
        <x:v>2028693.87</x:v>
      </x:c>
      <x:c r="I547" s="49" t="n">
        <x:v>1908816.97</x:v>
      </x:c>
      <x:c r="J547" s="48" t="n">
        <x:f>IF(COUNT(B547:C547)&lt;2,"",B547-C547)</x:f>
        <x:v>40.42999999999998</x:v>
      </x:c>
      <x:c r="K547" s="48" t="n">
        <x:f>IF(COUNT(D547,F547)&lt;2,"",D547-F547)</x:f>
        <x:v>135.39</x:v>
      </x:c>
      <x:c r="L547" s="48" t="n">
        <x:f>IF(COUNT(E547,G547)&lt;2,"",E547-G547)</x:f>
        <x:v>100.29999999999998</x:v>
      </x:c>
      <x:c r="M547" s="31" t="str">
        <x:v>网站结构化接口</x:v>
      </x:c>
      <x:c r="N547" s="36" t="d">
        <x:v>2026-10-28T14:16:22.777Z</x:v>
      </x:c>
    </x:row>
    <x:row r="548">
      <x:c r="A548" s="36" t="d">
        <x:v>2026-07-01T00:00:00.000Z</x:v>
      </x:c>
      <x:c r="B548" s="48" t="n">
        <x:v>232.15</x:v>
      </x:c>
      <x:c r="C548" s="48" t="n">
        <x:v>263.93</x:v>
      </x:c>
      <x:c r="D548" s="48" t="n">
        <x:v>273.21</x:v>
      </x:c>
      <x:c r="E548" s="48" t="n">
        <x:v>295.54</x:v>
      </x:c>
      <x:c r="F548" s="48" t="n">
        <x:v>91.1</x:v>
      </x:c>
      <x:c r="G548" s="48" t="n">
        <x:v>147.9</x:v>
      </x:c>
      <x:c r="H548" s="49" t="n">
        <x:v>2117044.03</x:v>
      </x:c>
      <x:c r="I548" s="49" t="n">
        <x:v>2161840.01</x:v>
      </x:c>
      <x:c r="J548" s="48" t="n">
        <x:f>IF(COUNT(B548:C548)&lt;2,"",B548-C548)</x:f>
        <x:v>-31.78</x:v>
      </x:c>
      <x:c r="K548" s="48" t="n">
        <x:f>IF(COUNT(D548,F548)&lt;2,"",D548-F548)</x:f>
        <x:v>182.10999999999999</x:v>
      </x:c>
      <x:c r="L548" s="48" t="n">
        <x:f>IF(COUNT(E548,G548)&lt;2,"",E548-G548)</x:f>
        <x:v>147.64000000000001</x:v>
      </x:c>
      <x:c r="M548" s="31" t="str">
        <x:v>网站结构化接口</x:v>
      </x:c>
      <x:c r="N548" s="36" t="d">
        <x:v>2026-10-28T14:16:22.777Z</x:v>
      </x:c>
    </x:row>
    <x:row r="549">
      <x:c r="A549" s="36" t="d">
        <x:v>2026-07-02T00:00:00.000Z</x:v>
      </x:c>
      <x:c r="B549" s="48" t="n">
        <x:v>258.42</x:v>
      </x:c>
      <x:c r="C549" s="48" t="n">
        <x:v>247.1</x:v>
      </x:c>
      <x:c r="D549" s="48" t="n">
        <x:v>274.29</x:v>
      </x:c>
      <x:c r="E549" s="48" t="n">
        <x:v>258.5</x:v>
      </x:c>
      <x:c r="F549" s="48" t="n">
        <x:v>206.73</x:v>
      </x:c>
      <x:c r="G549" s="48" t="n">
        <x:v>211.51</x:v>
      </x:c>
      <x:c r="H549" s="49" t="n">
        <x:v>2169646.47</x:v>
      </x:c>
      <x:c r="I549" s="49" t="n">
        <x:v>2093550.14</x:v>
      </x:c>
      <x:c r="J549" s="48" t="n">
        <x:f>IF(COUNT(B549:C549)&lt;2,"",B549-C549)</x:f>
        <x:v>11.320000000000022</x:v>
      </x:c>
      <x:c r="K549" s="48" t="n">
        <x:f>IF(COUNT(D549,F549)&lt;2,"",D549-F549)</x:f>
        <x:v>67.56000000000003</x:v>
      </x:c>
      <x:c r="L549" s="48" t="n">
        <x:f>IF(COUNT(E549,G549)&lt;2,"",E549-G549)</x:f>
        <x:v>46.99000000000001</x:v>
      </x:c>
      <x:c r="M549" s="31" t="str">
        <x:v>网站结构化接口</x:v>
      </x:c>
      <x:c r="N549" s="36" t="d">
        <x:v>2026-10-28T14:16:22.777Z</x:v>
      </x:c>
    </x:row>
    <x:row r="550">
      <x:c r="A550" s="36" t="d">
        <x:v>2026-07-03T00:00:00.000Z</x:v>
      </x:c>
      <x:c r="B550" s="48" t="n">
        <x:v>204.19</x:v>
      </x:c>
      <x:c r="C550" s="48" t="n">
        <x:v>222.99</x:v>
      </x:c>
      <x:c r="D550" s="48" t="n">
        <x:v>235.75</x:v>
      </x:c>
      <x:c r="E550" s="48" t="n">
        <x:v>258.14</x:v>
      </x:c>
      <x:c r="F550" s="48" t="n">
        <x:v>120.34</x:v>
      </x:c>
      <x:c r="G550" s="48" t="n">
        <x:v>139.58</x:v>
      </x:c>
      <x:c r="H550" s="49" t="n">
        <x:v>1900060.2</x:v>
      </x:c>
      <x:c r="I550" s="49" t="n">
        <x:v>2005886.88</x:v>
      </x:c>
      <x:c r="J550" s="48" t="n">
        <x:f>IF(COUNT(B550:C550)&lt;2,"",B550-C550)</x:f>
        <x:v>-18.80000000000001</x:v>
      </x:c>
      <x:c r="K550" s="48" t="n">
        <x:f>IF(COUNT(D550,F550)&lt;2,"",D550-F550)</x:f>
        <x:v>115.41</x:v>
      </x:c>
      <x:c r="L550" s="48" t="n">
        <x:f>IF(COUNT(E550,G550)&lt;2,"",E550-G550)</x:f>
        <x:v>118.55999999999997</x:v>
      </x:c>
      <x:c r="M550" s="31" t="str">
        <x:v>网站结构化接口</x:v>
      </x:c>
      <x:c r="N550" s="36" t="d">
        <x:v>2026-10-28T14:16:22.777Z</x:v>
      </x:c>
    </x:row>
    <x:row r="551">
      <x:c r="A551" s="36" t="d">
        <x:v>2026-07-04T00:00:00.000Z</x:v>
      </x:c>
      <x:c r="B551" s="48" t="n">
        <x:v>230.18</x:v>
      </x:c>
      <x:c r="C551" s="48" t="n">
        <x:v>235.79</x:v>
      </x:c>
      <x:c r="D551" s="48" t="n">
        <x:v>269.36</x:v>
      </x:c>
      <x:c r="E551" s="48" t="n">
        <x:v>272.48</x:v>
      </x:c>
      <x:c r="F551" s="48" t="n">
        <x:v>141.25</x:v>
      </x:c>
      <x:c r="G551" s="48" t="n">
        <x:v>153.08</x:v>
      </x:c>
      <x:c r="H551" s="49" t="n">
        <x:v>2039986.6</x:v>
      </x:c>
      <x:c r="I551" s="49" t="n">
        <x:v>2070827.18</x:v>
      </x:c>
      <x:c r="J551" s="48" t="n">
        <x:f>IF(COUNT(B551:C551)&lt;2,"",B551-C551)</x:f>
        <x:v>-5.609999999999985</x:v>
      </x:c>
      <x:c r="K551" s="48" t="n">
        <x:f>IF(COUNT(D551,F551)&lt;2,"",D551-F551)</x:f>
        <x:v>128.11</x:v>
      </x:c>
      <x:c r="L551" s="48" t="n">
        <x:f>IF(COUNT(E551,G551)&lt;2,"",E551-G551)</x:f>
        <x:v>119.4</x:v>
      </x:c>
      <x:c r="M551" s="31" t="str">
        <x:v>网站结构化接口</x:v>
      </x:c>
      <x:c r="N551" s="36" t="d">
        <x:v>2026-10-28T14:16:22.777Z</x:v>
      </x:c>
    </x:row>
    <x:row r="552">
      <x:c r="A552" s="36" t="d">
        <x:v>2026-07-05T00:00:00.000Z</x:v>
      </x:c>
      <x:c r="B552" s="48" t="n">
        <x:v>235.84</x:v>
      </x:c>
      <x:c r="C552" s="48" t="n">
        <x:v>291.68</x:v>
      </x:c>
      <x:c r="D552" s="48" t="n">
        <x:v>276.81</x:v>
      </x:c>
      <x:c r="E552" s="48" t="n">
        <x:v>341.5</x:v>
      </x:c>
      <x:c r="F552" s="48" t="n">
        <x:v>135.74</x:v>
      </x:c>
      <x:c r="G552" s="48" t="n">
        <x:v>164.34</x:v>
      </x:c>
      <x:c r="H552" s="49" t="n">
        <x:v>2076448.99</x:v>
      </x:c>
      <x:c r="I552" s="49" t="n">
        <x:v>2179730.65</x:v>
      </x:c>
      <x:c r="J552" s="48" t="n">
        <x:f>IF(COUNT(B552:C552)&lt;2,"",B552-C552)</x:f>
        <x:v>-55.84</x:v>
      </x:c>
      <x:c r="K552" s="48" t="n">
        <x:f>IF(COUNT(D552,F552)&lt;2,"",D552-F552)</x:f>
        <x:v>141.07</x:v>
      </x:c>
      <x:c r="L552" s="48" t="n">
        <x:f>IF(COUNT(E552,G552)&lt;2,"",E552-G552)</x:f>
        <x:v>177.16</x:v>
      </x:c>
      <x:c r="M552" s="31" t="str">
        <x:v>网站结构化接口</x:v>
      </x:c>
      <x:c r="N552" s="36" t="d">
        <x:v>2026-10-28T14:16:22.777Z</x:v>
      </x:c>
    </x:row>
    <x:row r="553">
      <x:c r="A553" s="36" t="d">
        <x:v>2026-07-06T00:00:00.000Z</x:v>
      </x:c>
      <x:c r="B553" s="48" t="n">
        <x:v>323.87</x:v>
      </x:c>
      <x:c r="C553" s="48" t="n">
        <x:v>382.83</x:v>
      </x:c>
      <x:c r="D553" s="48" t="n">
        <x:v>365.44</x:v>
      </x:c>
      <x:c r="E553" s="48" t="n">
        <x:v>413.55</x:v>
      </x:c>
      <x:c r="F553" s="48" t="n">
        <x:v>183.65</x:v>
      </x:c>
      <x:c r="G553" s="48" t="n">
        <x:v>257.86</x:v>
      </x:c>
      <x:c r="H553" s="49" t="n">
        <x:v>2366210.89</x:v>
      </x:c>
      <x:c r="I553" s="49" t="n">
        <x:v>2482707.98</x:v>
      </x:c>
      <x:c r="J553" s="48" t="n">
        <x:f>IF(COUNT(B553:C553)&lt;2,"",B553-C553)</x:f>
        <x:v>-58.95999999999998</x:v>
      </x:c>
      <x:c r="K553" s="48" t="n">
        <x:f>IF(COUNT(D553,F553)&lt;2,"",D553-F553)</x:f>
        <x:v>181.79</x:v>
      </x:c>
      <x:c r="L553" s="48" t="n">
        <x:f>IF(COUNT(E553,G553)&lt;2,"",E553-G553)</x:f>
        <x:v>155.69</x:v>
      </x:c>
      <x:c r="M553" s="31" t="str">
        <x:v>网站结构化接口</x:v>
      </x:c>
      <x:c r="N553" s="36" t="d">
        <x:v>2026-10-28T14:16:22.777Z</x:v>
      </x:c>
    </x:row>
    <x:row r="554">
      <x:c r="A554" s="36" t="d">
        <x:v>2026-07-07T00:00:00.000Z</x:v>
      </x:c>
      <x:c r="B554" s="48" t="n">
        <x:v>364.89</x:v>
      </x:c>
      <x:c r="C554" s="48" t="n">
        <x:v>311.31</x:v>
      </x:c>
      <x:c r="D554" s="48" t="n">
        <x:v>400.62</x:v>
      </x:c>
      <x:c r="E554" s="48" t="n">
        <x:v>346.19</x:v>
      </x:c>
      <x:c r="F554" s="48" t="n">
        <x:v>220.05</x:v>
      </x:c>
      <x:c r="G554" s="48" t="n">
        <x:v>174.63</x:v>
      </x:c>
      <x:c r="H554" s="49" t="n">
        <x:v>2536144.75</x:v>
      </x:c>
      <x:c r="I554" s="49" t="n">
        <x:v>2341611.15</x:v>
      </x:c>
      <x:c r="J554" s="48" t="n">
        <x:f>IF(COUNT(B554:C554)&lt;2,"",B554-C554)</x:f>
        <x:v>53.579999999999984</x:v>
      </x:c>
      <x:c r="K554" s="48" t="n">
        <x:f>IF(COUNT(D554,F554)&lt;2,"",D554-F554)</x:f>
        <x:v>180.57</x:v>
      </x:c>
      <x:c r="L554" s="48" t="n">
        <x:f>IF(COUNT(E554,G554)&lt;2,"",E554-G554)</x:f>
        <x:v>171.56</x:v>
      </x:c>
      <x:c r="M554" s="31" t="str">
        <x:v>网站结构化接口</x:v>
      </x:c>
      <x:c r="N554" s="36" t="d">
        <x:v>2026-10-28T14:16:22.777Z</x:v>
      </x:c>
    </x:row>
    <x:row r="555">
      <x:c r="A555" s="36" t="d">
        <x:v>2026-07-08T00:00:00.000Z</x:v>
      </x:c>
      <x:c r="B555" s="48" t="n">
        <x:v>343.24</x:v>
      </x:c>
      <x:c r="C555" s="48" t="n">
        <x:v>348.76</x:v>
      </x:c>
      <x:c r="D555" s="48" t="n">
        <x:v>367.82</x:v>
      </x:c>
      <x:c r="E555" s="48" t="n">
        <x:v>372.47</x:v>
      </x:c>
      <x:c r="F555" s="48" t="n">
        <x:v>245.62</x:v>
      </x:c>
      <x:c r="G555" s="48" t="n">
        <x:v>247.05</x:v>
      </x:c>
      <x:c r="H555" s="49" t="n">
        <x:v>2431689.61</x:v>
      </x:c>
      <x:c r="I555" s="49" t="n">
        <x:v>2428646.78</x:v>
      </x:c>
      <x:c r="J555" s="48" t="n">
        <x:f>IF(COUNT(B555:C555)&lt;2,"",B555-C555)</x:f>
        <x:v>-5.519999999999982</x:v>
      </x:c>
      <x:c r="K555" s="48" t="n">
        <x:f>IF(COUNT(D555,F555)&lt;2,"",D555-F555)</x:f>
        <x:v>122.19999999999999</x:v>
      </x:c>
      <x:c r="L555" s="48" t="n">
        <x:f>IF(COUNT(E555,G555)&lt;2,"",E555-G555)</x:f>
        <x:v>125.42000000000002</x:v>
      </x:c>
      <x:c r="M555" s="31" t="str">
        <x:v>网站结构化接口</x:v>
      </x:c>
      <x:c r="N555" s="36" t="d">
        <x:v>2026-10-28T14:16:22.777Z</x:v>
      </x:c>
    </x:row>
    <x:row r="556">
      <x:c r="A556" s="36" t="d">
        <x:v>2026-07-09T00:00:00.000Z</x:v>
      </x:c>
      <x:c r="B556" s="48" t="n">
        <x:v>355.22</x:v>
      </x:c>
      <x:c r="C556" s="48" t="n">
        <x:v>382.46</x:v>
      </x:c>
      <x:c r="D556" s="48" t="n">
        <x:v>379.76</x:v>
      </x:c>
      <x:c r="E556" s="48" t="n">
        <x:v>404.37</x:v>
      </x:c>
      <x:c r="F556" s="48" t="n">
        <x:v>268.3</x:v>
      </x:c>
      <x:c r="G556" s="48" t="n">
        <x:v>300.52</x:v>
      </x:c>
      <x:c r="H556" s="49" t="n">
        <x:v>2478576.42</x:v>
      </x:c>
      <x:c r="I556" s="49" t="n">
        <x:v>2586976.29</x:v>
      </x:c>
      <x:c r="J556" s="48" t="n">
        <x:f>IF(COUNT(B556:C556)&lt;2,"",B556-C556)</x:f>
        <x:v>-27.239999999999952</x:v>
      </x:c>
      <x:c r="K556" s="48" t="n">
        <x:f>IF(COUNT(D556,F556)&lt;2,"",D556-F556)</x:f>
        <x:v>111.45999999999998</x:v>
      </x:c>
      <x:c r="L556" s="48" t="n">
        <x:f>IF(COUNT(E556,G556)&lt;2,"",E556-G556)</x:f>
        <x:v>103.85000000000002</x:v>
      </x:c>
      <x:c r="M556" s="31" t="str">
        <x:v>网站结构化接口</x:v>
      </x:c>
      <x:c r="N556" s="36" t="d">
        <x:v>2026-10-28T14:16:22.777Z</x:v>
      </x:c>
    </x:row>
    <x:row r="557">
      <x:c r="A557" s="36" t="d">
        <x:v>2026-07-10T00:00:00.000Z</x:v>
      </x:c>
      <x:c r="B557" s="48" t="n">
        <x:v>385.08</x:v>
      </x:c>
      <x:c r="C557" s="48" t="n">
        <x:v>323.06</x:v>
      </x:c>
      <x:c r="D557" s="48" t="n">
        <x:v>395.94</x:v>
      </x:c>
      <x:c r="E557" s="48" t="n">
        <x:v>327.34</x:v>
      </x:c>
      <x:c r="F557" s="48" t="n">
        <x:v>330.68</x:v>
      </x:c>
      <x:c r="G557" s="48" t="n">
        <x:v>301.82</x:v>
      </x:c>
      <x:c r="H557" s="49" t="n">
        <x:v>2736491.93</x:v>
      </x:c>
      <x:c r="I557" s="49" t="n">
        <x:v>2665008.18</x:v>
      </x:c>
      <x:c r="J557" s="48" t="n">
        <x:f>IF(COUNT(B557:C557)&lt;2,"",B557-C557)</x:f>
        <x:v>62.01999999999998</x:v>
      </x:c>
      <x:c r="K557" s="48" t="n">
        <x:f>IF(COUNT(D557,F557)&lt;2,"",D557-F557)</x:f>
        <x:v>65.25999999999999</x:v>
      </x:c>
      <x:c r="L557" s="48" t="n">
        <x:f>IF(COUNT(E557,G557)&lt;2,"",E557-G557)</x:f>
        <x:v>25.519999999999982</x:v>
      </x:c>
      <x:c r="M557" s="31" t="str">
        <x:v>网站结构化接口</x:v>
      </x:c>
      <x:c r="N557" s="36" t="d">
        <x:v>2026-10-28T14:16:22.777Z</x:v>
      </x:c>
    </x:row>
    <x:row r="558">
      <x:c r="A558" s="36" t="d">
        <x:v>2026-07-11T00:00:00.000Z</x:v>
      </x:c>
      <x:c r="B558" s="48" t="n">
        <x:v>311.97</x:v>
      </x:c>
      <x:c r="C558" s="48" t="n">
        <x:v>322.65</x:v>
      </x:c>
      <x:c r="D558" s="48" t="n">
        <x:v>316.76</x:v>
      </x:c>
      <x:c r="E558" s="48" t="n">
        <x:v>328.34</x:v>
      </x:c>
      <x:c r="F558" s="48" t="n">
        <x:v>276.39</x:v>
      </x:c>
      <x:c r="G558" s="48" t="n">
        <x:v>283.91</x:v>
      </x:c>
      <x:c r="H558" s="49" t="n">
        <x:v>2417577</x:v>
      </x:c>
      <x:c r="I558" s="49" t="n">
        <x:v>2469396.89</x:v>
      </x:c>
      <x:c r="J558" s="48" t="n">
        <x:f>IF(COUNT(B558:C558)&lt;2,"",B558-C558)</x:f>
        <x:v>-10.67999999999995</x:v>
      </x:c>
      <x:c r="K558" s="48" t="n">
        <x:f>IF(COUNT(D558,F558)&lt;2,"",D558-F558)</x:f>
        <x:v>40.370000000000005</x:v>
      </x:c>
      <x:c r="L558" s="48" t="n">
        <x:f>IF(COUNT(E558,G558)&lt;2,"",E558-G558)</x:f>
        <x:v>44.42999999999995</x:v>
      </x:c>
      <x:c r="M558" s="31" t="str">
        <x:v>网站结构化接口</x:v>
      </x:c>
      <x:c r="N558" s="36" t="d">
        <x:v>2026-10-28T14:16:22.777Z</x:v>
      </x:c>
    </x:row>
    <x:row r="559">
      <x:c r="A559" s="36" t="d">
        <x:v>2026-07-12T00:00:00.000Z</x:v>
      </x:c>
      <x:c r="B559" s="48" t="n">
        <x:v>316.52</x:v>
      </x:c>
      <x:c r="C559" s="48" t="n">
        <x:v>310.17</x:v>
      </x:c>
      <x:c r="D559" s="48" t="n">
        <x:v>335.57</x:v>
      </x:c>
      <x:c r="E559" s="48" t="n">
        <x:v>338.47</x:v>
      </x:c>
      <x:c r="F559" s="48" t="n">
        <x:v>226.24</x:v>
      </x:c>
      <x:c r="G559" s="48" t="n">
        <x:v>177.05</x:v>
      </x:c>
      <x:c r="H559" s="49" t="n">
        <x:v>2227446.89</x:v>
      </x:c>
      <x:c r="I559" s="49" t="n">
        <x:v>2198983.04</x:v>
      </x:c>
      <x:c r="J559" s="48" t="n">
        <x:f>IF(COUNT(B559:C559)&lt;2,"",B559-C559)</x:f>
        <x:v>6.349999999999966</x:v>
      </x:c>
      <x:c r="K559" s="48" t="n">
        <x:f>IF(COUNT(D559,F559)&lt;2,"",D559-F559)</x:f>
        <x:v>109.32999999999998</x:v>
      </x:c>
      <x:c r="L559" s="48" t="n">
        <x:f>IF(COUNT(E559,G559)&lt;2,"",E559-G559)</x:f>
        <x:v>161.42000000000002</x:v>
      </x:c>
      <x:c r="M559" s="31" t="str">
        <x:v>网站结构化接口</x:v>
      </x:c>
      <x:c r="N559" s="36" t="d">
        <x:v>2026-10-28T14:16:22.777Z</x:v>
      </x:c>
    </x:row>
    <x:row r="560">
      <x:c r="A560" s="36" t="d">
        <x:v>2026-07-13T00:00:00.000Z</x:v>
      </x:c>
      <x:c r="B560" s="48" t="n">
        <x:v>295.05</x:v>
      </x:c>
      <x:c r="C560" s="48" t="n">
        <x:v>393.98</x:v>
      </x:c>
      <x:c r="D560" s="48" t="n">
        <x:v>332.35</x:v>
      </x:c>
      <x:c r="E560" s="48" t="n">
        <x:v>428.88</x:v>
      </x:c>
      <x:c r="F560" s="48" t="n">
        <x:v>159.06</x:v>
      </x:c>
      <x:c r="G560" s="48" t="n">
        <x:v>242.83</x:v>
      </x:c>
      <x:c r="H560" s="49" t="n">
        <x:v>2289220.02</x:v>
      </x:c>
      <x:c r="I560" s="49" t="n">
        <x:v>2433504.04</x:v>
      </x:c>
      <x:c r="J560" s="48" t="n">
        <x:f>IF(COUNT(B560:C560)&lt;2,"",B560-C560)</x:f>
        <x:v>-98.93</x:v>
      </x:c>
      <x:c r="K560" s="48" t="n">
        <x:f>IF(COUNT(D560,F560)&lt;2,"",D560-F560)</x:f>
        <x:v>173.29000000000002</x:v>
      </x:c>
      <x:c r="L560" s="48" t="n">
        <x:f>IF(COUNT(E560,G560)&lt;2,"",E560-G560)</x:f>
        <x:v>186.04999999999998</x:v>
      </x:c>
      <x:c r="M560" s="31" t="str">
        <x:v>网站结构化接口</x:v>
      </x:c>
      <x:c r="N560" s="36" t="d">
        <x:v>2026-10-28T14:16:22.777Z</x:v>
      </x:c>
    </x:row>
    <x:row r="561">
      <x:c r="A561" s="36" t="d">
        <x:v>2026-07-14T00:00:00.000Z</x:v>
      </x:c>
      <x:c r="B561" s="48" t="n">
        <x:v>352.95</x:v>
      </x:c>
      <x:c r="C561" s="48" t="n">
        <x:v>322.6</x:v>
      </x:c>
      <x:c r="D561" s="48"/>
      <x:c r="E561" s="48"/>
      <x:c r="F561" s="48"/>
      <x:c r="G561" s="48"/>
      <x:c r="H561" s="49" t="n">
        <x:v>2603536.97</x:v>
      </x:c>
      <x:c r="I561" s="49" t="n">
        <x:v>2539011.2</x:v>
      </x:c>
      <x:c r="J561" s="48" t="n">
        <x:f>IF(COUNT(B561:C561)&lt;2,"",B561-C561)</x:f>
        <x:v>30.349999999999966</x:v>
      </x:c>
      <x:c r="K561" s="48" t="str">
        <x:f>IF(COUNT(D561,F561)&lt;2,"",D561-F561)</x:f>
      </x:c>
      <x:c r="L561" s="48" t="str">
        <x:f>IF(COUNT(E561,G561)&lt;2,"",E561-G561)</x:f>
      </x:c>
      <x:c r="M561" s="31" t="str">
        <x:v>网站结构化接口</x:v>
      </x:c>
      <x:c r="N561" s="36" t="d">
        <x:v>2026-10-28T14:16:22.777Z</x:v>
      </x:c>
    </x:row>
    <x:row r="562">
      <x:c r="A562" s="36" t="d">
        <x:v>2026-07-15T00:00:00.000Z</x:v>
      </x:c>
      <x:c r="B562" s="48" t="n">
        <x:v>276.6</x:v>
      </x:c>
      <x:c r="C562" s="48" t="n">
        <x:v>312.56</x:v>
      </x:c>
      <x:c r="D562" s="48" t="n">
        <x:v>303.71</x:v>
      </x:c>
      <x:c r="E562" s="48" t="n">
        <x:v>335.47</x:v>
      </x:c>
      <x:c r="F562" s="48" t="n">
        <x:v>165.62</x:v>
      </x:c>
      <x:c r="G562" s="48" t="n">
        <x:v>204.9</x:v>
      </x:c>
      <x:c r="H562" s="49" t="n">
        <x:v>2227528.17</x:v>
      </x:c>
      <x:c r="I562" s="49" t="n">
        <x:v>2260488.04</x:v>
      </x:c>
      <x:c r="J562" s="48" t="n">
        <x:f>IF(COUNT(B562:C562)&lt;2,"",B562-C562)</x:f>
        <x:v>-35.95999999999998</x:v>
      </x:c>
      <x:c r="K562" s="48" t="n">
        <x:f>IF(COUNT(D562,F562)&lt;2,"",D562-F562)</x:f>
        <x:v>138.08999999999997</x:v>
      </x:c>
      <x:c r="L562" s="48" t="n">
        <x:f>IF(COUNT(E562,G562)&lt;2,"",E562-G562)</x:f>
        <x:v>130.57000000000002</x:v>
      </x:c>
      <x:c r="M562" s="31" t="str">
        <x:v>网站结构化接口</x:v>
      </x:c>
      <x:c r="N562" s="36" t="d">
        <x:v>2026-10-28T14:16:22.777Z</x:v>
      </x:c>
    </x:row>
    <x:row r="563">
      <x:c r="A563" s="36" t="d">
        <x:v>2026-07-16T00:00:00.000Z</x:v>
      </x:c>
      <x:c r="B563" s="48" t="n">
        <x:v>317.24</x:v>
      </x:c>
      <x:c r="C563" s="48" t="n">
        <x:v>309.49</x:v>
      </x:c>
      <x:c r="D563" s="48" t="n">
        <x:v>322.53</x:v>
      </x:c>
      <x:c r="E563" s="48" t="n">
        <x:v>313.72</x:v>
      </x:c>
      <x:c r="F563" s="48" t="n">
        <x:v>279.81</x:v>
      </x:c>
      <x:c r="G563" s="48" t="n">
        <x:v>277.18</x:v>
      </x:c>
      <x:c r="H563" s="49" t="n">
        <x:v>2415168.11</x:v>
      </x:c>
      <x:c r="I563" s="49" t="n">
        <x:v>2369490.23</x:v>
      </x:c>
      <x:c r="J563" s="48" t="n">
        <x:f>IF(COUNT(B563:C563)&lt;2,"",B563-C563)</x:f>
        <x:v>7.75</x:v>
      </x:c>
      <x:c r="K563" s="48" t="n">
        <x:f>IF(COUNT(D563,F563)&lt;2,"",D563-F563)</x:f>
        <x:v>42.71999999999997</x:v>
      </x:c>
      <x:c r="L563" s="48" t="n">
        <x:f>IF(COUNT(E563,G563)&lt;2,"",E563-G563)</x:f>
        <x:v>36.54000000000002</x:v>
      </x:c>
      <x:c r="M563" s="31" t="str">
        <x:v>网站结构化接口</x:v>
      </x:c>
      <x:c r="N563" s="36" t="d">
        <x:v>2026-10-28T14:16:22.777Z</x:v>
      </x:c>
    </x:row>
    <x:row r="564">
      <x:c r="A564" s="36" t="d">
        <x:v>2026-07-17T00:00:00.000Z</x:v>
      </x:c>
      <x:c r="B564" s="48" t="n">
        <x:v>309.86</x:v>
      </x:c>
      <x:c r="C564" s="48" t="n">
        <x:v>262.71</x:v>
      </x:c>
      <x:c r="D564" s="48" t="n">
        <x:v>343.51</x:v>
      </x:c>
      <x:c r="E564" s="48" t="n">
        <x:v>290.56</x:v>
      </x:c>
      <x:c r="F564" s="48" t="n">
        <x:v>182.64</x:v>
      </x:c>
      <x:c r="G564" s="48" t="n">
        <x:v>164.01</x:v>
      </x:c>
      <x:c r="H564" s="49" t="n">
        <x:v>2301137.68</x:v>
      </x:c>
      <x:c r="I564" s="49" t="n">
        <x:v>2164037.76</x:v>
      </x:c>
      <x:c r="J564" s="48" t="n">
        <x:f>IF(COUNT(B564:C564)&lt;2,"",B564-C564)</x:f>
        <x:v>47.150000000000034</x:v>
      </x:c>
      <x:c r="K564" s="48" t="n">
        <x:f>IF(COUNT(D564,F564)&lt;2,"",D564-F564)</x:f>
        <x:v>160.87</x:v>
      </x:c>
      <x:c r="L564" s="48" t="n">
        <x:f>IF(COUNT(E564,G564)&lt;2,"",E564-G564)</x:f>
        <x:v>126.55000000000001</x:v>
      </x:c>
      <x:c r="M564" s="31" t="str">
        <x:v>网站结构化接口</x:v>
      </x:c>
      <x:c r="N564" s="36" t="d">
        <x:v>2026-10-28T14:16:22.777Z</x:v>
      </x:c>
    </x:row>
    <x:row r="565">
      <x:c r="A565" s="36" t="d">
        <x:v>2026-07-18T00:00:00.000Z</x:v>
      </x:c>
      <x:c r="B565" s="48" t="n">
        <x:v>290.52</x:v>
      </x:c>
      <x:c r="C565" s="48" t="n">
        <x:v>239.98</x:v>
      </x:c>
      <x:c r="D565" s="48" t="n">
        <x:v>337.8</x:v>
      </x:c>
      <x:c r="E565" s="48" t="n">
        <x:v>264.42</x:v>
      </x:c>
      <x:c r="F565" s="48" t="n">
        <x:v>154.3</x:v>
      </x:c>
      <x:c r="G565" s="48" t="n">
        <x:v>157.65</x:v>
      </x:c>
      <x:c r="H565" s="49" t="n">
        <x:v>2281641.59</x:v>
      </x:c>
      <x:c r="I565" s="49" t="n">
        <x:v>2164525.52</x:v>
      </x:c>
      <x:c r="J565" s="48" t="n">
        <x:f>IF(COUNT(B565:C565)&lt;2,"",B565-C565)</x:f>
        <x:v>50.53999999999999</x:v>
      </x:c>
      <x:c r="K565" s="48" t="n">
        <x:f>IF(COUNT(D565,F565)&lt;2,"",D565-F565)</x:f>
        <x:v>183.5</x:v>
      </x:c>
      <x:c r="L565" s="48" t="n">
        <x:f>IF(COUNT(E565,G565)&lt;2,"",E565-G565)</x:f>
        <x:v>106.77000000000001</x:v>
      </x:c>
      <x:c r="M565" s="31" t="str">
        <x:v>网站结构化接口</x:v>
      </x:c>
      <x:c r="N565" s="36" t="d">
        <x:v>2026-10-28T14:16:22.777Z</x:v>
      </x:c>
    </x:row>
    <x:row r="566">
      <x:c r="A566" s="36" t="d">
        <x:v>2026-07-19T00:00:00.000Z</x:v>
      </x:c>
      <x:c r="B566" s="48" t="n">
        <x:v>241.29</x:v>
      </x:c>
      <x:c r="C566" s="48" t="n">
        <x:v>182.29</x:v>
      </x:c>
      <x:c r="D566" s="48" t="n">
        <x:v>281.5</x:v>
      </x:c>
      <x:c r="E566" s="48" t="n">
        <x:v>206.87</x:v>
      </x:c>
      <x:c r="F566" s="48" t="n">
        <x:v>123.23</x:v>
      </x:c>
      <x:c r="G566" s="48" t="n">
        <x:v>116.82</x:v>
      </x:c>
      <x:c r="H566" s="49" t="n">
        <x:v>2249713.36</x:v>
      </x:c>
      <x:c r="I566" s="49" t="n">
        <x:v>2033067.7</x:v>
      </x:c>
      <x:c r="J566" s="48" t="n">
        <x:f>IF(COUNT(B566:C566)&lt;2,"",B566-C566)</x:f>
        <x:v>59</x:v>
      </x:c>
      <x:c r="K566" s="48" t="n">
        <x:f>IF(COUNT(D566,F566)&lt;2,"",D566-F566)</x:f>
        <x:v>158.26999999999998</x:v>
      </x:c>
      <x:c r="L566" s="48" t="n">
        <x:f>IF(COUNT(E566,G566)&lt;2,"",E566-G566)</x:f>
        <x:v>90.05000000000001</x:v>
      </x:c>
      <x:c r="M566" s="31" t="str">
        <x:v>网站结构化接口</x:v>
      </x:c>
      <x:c r="N566" s="36" t="d">
        <x:v>2026-10-28T14:16:22.777Z</x:v>
      </x:c>
    </x:row>
    <x:row r="567">
      <x:c r="A567" s="36" t="d">
        <x:v>2026-07-20T00:00:00.000Z</x:v>
      </x:c>
      <x:c r="B567" s="48" t="n">
        <x:v>280.11</x:v>
      </x:c>
      <x:c r="C567" s="48" t="n">
        <x:v>289.02</x:v>
      </x:c>
      <x:c r="D567" s="48" t="n">
        <x:v>338.43</x:v>
      </x:c>
      <x:c r="E567" s="48" t="n">
        <x:v>336.57</x:v>
      </x:c>
      <x:c r="F567" s="48" t="n">
        <x:v>127.56</x:v>
      </x:c>
      <x:c r="G567" s="48" t="n">
        <x:v>156.92</x:v>
      </x:c>
      <x:c r="H567" s="49" t="n">
        <x:v>2254528.03</x:v>
      </x:c>
      <x:c r="I567" s="49" t="n">
        <x:v>2234108.42</x:v>
      </x:c>
      <x:c r="J567" s="48" t="n">
        <x:f>IF(COUNT(B567:C567)&lt;2,"",B567-C567)</x:f>
        <x:v>-8.909999999999968</x:v>
      </x:c>
      <x:c r="K567" s="48" t="n">
        <x:f>IF(COUNT(D567,F567)&lt;2,"",D567-F567)</x:f>
        <x:v>210.87</x:v>
      </x:c>
      <x:c r="L567" s="48" t="n">
        <x:f>IF(COUNT(E567,G567)&lt;2,"",E567-G567)</x:f>
        <x:v>179.65</x:v>
      </x:c>
      <x:c r="M567" s="31" t="str">
        <x:v>网站结构化接口</x:v>
      </x:c>
      <x:c r="N567" s="36" t="d">
        <x:v>2026-10-28T14:16:22.777Z</x:v>
      </x:c>
    </x:row>
    <x:row r="568">
      <x:c r="A568" s="36" t="d">
        <x:v>2026-07-21T00:00:00.000Z</x:v>
      </x:c>
      <x:c r="B568" s="48" t="n">
        <x:v>342.45</x:v>
      </x:c>
      <x:c r="C568" s="48" t="n">
        <x:v>390.52</x:v>
      </x:c>
      <x:c r="D568" s="48" t="n">
        <x:v>369.08</x:v>
      </x:c>
      <x:c r="E568" s="48" t="n">
        <x:v>414.18</x:v>
      </x:c>
      <x:c r="F568" s="48" t="n">
        <x:v>253.68</x:v>
      </x:c>
      <x:c r="G568" s="48" t="n">
        <x:v>291.79</x:v>
      </x:c>
      <x:c r="H568" s="49" t="n">
        <x:v>2426409.94</x:v>
      </x:c>
      <x:c r="I568" s="49" t="n">
        <x:v>2501343.67</x:v>
      </x:c>
      <x:c r="J568" s="48" t="n">
        <x:f>IF(COUNT(B568:C568)&lt;2,"",B568-C568)</x:f>
        <x:v>-48.06999999999999</x:v>
      </x:c>
      <x:c r="K568" s="48" t="n">
        <x:f>IF(COUNT(D568,F568)&lt;2,"",D568-F568)</x:f>
        <x:v>115.39999999999998</x:v>
      </x:c>
      <x:c r="L568" s="48" t="n">
        <x:f>IF(COUNT(E568,G568)&lt;2,"",E568-G568)</x:f>
        <x:v>122.38999999999999</x:v>
      </x:c>
      <x:c r="M568" s="31" t="str">
        <x:v>网站结构化接口</x:v>
      </x:c>
      <x:c r="N568" s="36" t="d">
        <x:v>2026-10-28T14:16:22.777Z</x:v>
      </x:c>
    </x:row>
    <x:row r="569">
      <x:c r="A569" s="36" t="d">
        <x:v>2026-07-22T00:00:00.000Z</x:v>
      </x:c>
      <x:c r="B569" s="48" t="n">
        <x:v>360.62</x:v>
      </x:c>
      <x:c r="C569" s="48" t="n">
        <x:v>286.04</x:v>
      </x:c>
      <x:c r="D569" s="48" t="n">
        <x:v>392.96</x:v>
      </x:c>
      <x:c r="E569" s="48" t="n">
        <x:v>328.35</x:v>
      </x:c>
      <x:c r="F569" s="48" t="n">
        <x:v>266.94</x:v>
      </x:c>
      <x:c r="G569" s="48" t="n">
        <x:v>168.61</x:v>
      </x:c>
      <x:c r="H569" s="49" t="n">
        <x:v>2519013.28</x:v>
      </x:c>
      <x:c r="I569" s="49" t="n">
        <x:v>2234045.68</x:v>
      </x:c>
      <x:c r="J569" s="48" t="n">
        <x:f>IF(COUNT(B569:C569)&lt;2,"",B569-C569)</x:f>
        <x:v>74.57999999999998</x:v>
      </x:c>
      <x:c r="K569" s="48" t="n">
        <x:f>IF(COUNT(D569,F569)&lt;2,"",D569-F569)</x:f>
        <x:v>126.01999999999998</x:v>
      </x:c>
      <x:c r="L569" s="48" t="n">
        <x:f>IF(COUNT(E569,G569)&lt;2,"",E569-G569)</x:f>
        <x:v>159.74</x:v>
      </x:c>
      <x:c r="M569" s="31" t="str">
        <x:v>网站结构化接口</x:v>
      </x:c>
      <x:c r="N569" s="36" t="d">
        <x:v>2026-10-28T14:16:22.777Z</x:v>
      </x:c>
    </x:row>
    <x:row r="570">
      <x:c r="A570" s="36" t="d">
        <x:v>2026-07-23T00:00:00.000Z</x:v>
      </x:c>
      <x:c r="B570" s="48" t="n">
        <x:v>324.24</x:v>
      </x:c>
      <x:c r="C570" s="48" t="n">
        <x:v>317.97</x:v>
      </x:c>
      <x:c r="D570" s="48" t="n">
        <x:v>355.43</x:v>
      </x:c>
      <x:c r="E570" s="48" t="n">
        <x:v>358.42</x:v>
      </x:c>
      <x:c r="F570" s="48" t="n">
        <x:v>229</x:v>
      </x:c>
      <x:c r="G570" s="48" t="n">
        <x:v>202.48</x:v>
      </x:c>
      <x:c r="H570" s="49" t="n">
        <x:v>2433853.29</x:v>
      </x:c>
      <x:c r="I570" s="49" t="n">
        <x:v>2337568.45</x:v>
      </x:c>
      <x:c r="J570" s="48" t="n">
        <x:f>IF(COUNT(B570:C570)&lt;2,"",B570-C570)</x:f>
        <x:v>6.269999999999982</x:v>
      </x:c>
      <x:c r="K570" s="48" t="n">
        <x:f>IF(COUNT(D570,F570)&lt;2,"",D570-F570)</x:f>
        <x:v>126.43</x:v>
      </x:c>
      <x:c r="L570" s="48" t="n">
        <x:f>IF(COUNT(E570,G570)&lt;2,"",E570-G570)</x:f>
        <x:v>155.94000000000003</x:v>
      </x:c>
      <x:c r="M570" s="31" t="str">
        <x:v>网站结构化接口</x:v>
      </x:c>
      <x:c r="N570" s="36" t="d">
        <x:v>2026-10-28T14:16:22.777Z</x:v>
      </x:c>
    </x:row>
    <x:row r="571">
      <x:c r="A571" s="36" t="d">
        <x:v>2026-07-24T00:00:00.000Z</x:v>
      </x:c>
      <x:c r="B571" s="48" t="n">
        <x:v>226.6</x:v>
      </x:c>
      <x:c r="C571" s="48" t="n">
        <x:v>343.12</x:v>
      </x:c>
      <x:c r="D571" s="48" t="n">
        <x:v>250.02</x:v>
      </x:c>
      <x:c r="E571" s="48" t="n">
        <x:v>375.22</x:v>
      </x:c>
      <x:c r="F571" s="48" t="n">
        <x:v>168.14</x:v>
      </x:c>
      <x:c r="G571" s="48" t="n">
        <x:v>243.29</x:v>
      </x:c>
      <x:c r="H571" s="49" t="n">
        <x:v>2356707.05</x:v>
      </x:c>
      <x:c r="I571" s="49" t="n">
        <x:v>2441985.62</x:v>
      </x:c>
      <x:c r="J571" s="48" t="n">
        <x:f>IF(COUNT(B571:C571)&lt;2,"",B571-C571)</x:f>
        <x:v>-116.52000000000001</x:v>
      </x:c>
      <x:c r="K571" s="48" t="n">
        <x:f>IF(COUNT(D571,F571)&lt;2,"",D571-F571)</x:f>
        <x:v>81.88000000000002</x:v>
      </x:c>
      <x:c r="L571" s="48" t="n">
        <x:f>IF(COUNT(E571,G571)&lt;2,"",E571-G571)</x:f>
        <x:v>131.93000000000004</x:v>
      </x:c>
      <x:c r="M571" s="31" t="str">
        <x:v>网站结构化接口</x:v>
      </x:c>
      <x:c r="N571" s="36" t="d">
        <x:v>2026-10-28T14:16:22.777Z</x:v>
      </x:c>
    </x:row>
    <x:row r="572">
      <x:c r="A572" s="36" t="d">
        <x:v>2026-07-25T00:00:00.000Z</x:v>
      </x:c>
      <x:c r="B572" s="48" t="n">
        <x:v>322.43</x:v>
      </x:c>
      <x:c r="C572" s="48" t="n">
        <x:v>309.67</x:v>
      </x:c>
      <x:c r="D572" s="48" t="n">
        <x:v>348.27</x:v>
      </x:c>
      <x:c r="E572" s="48" t="n">
        <x:v>336.61</x:v>
      </x:c>
      <x:c r="F572" s="48" t="n">
        <x:v>250.23</x:v>
      </x:c>
      <x:c r="G572" s="48" t="n">
        <x:v>224.94</x:v>
      </x:c>
      <x:c r="H572" s="49" t="n">
        <x:v>2467675.74</x:v>
      </x:c>
      <x:c r="I572" s="49" t="n">
        <x:v>2451443.95</x:v>
      </x:c>
      <x:c r="J572" s="48" t="n">
        <x:f>IF(COUNT(B572:C572)&lt;2,"",B572-C572)</x:f>
        <x:v>12.759999999999991</x:v>
      </x:c>
      <x:c r="K572" s="48" t="n">
        <x:f>IF(COUNT(D572,F572)&lt;2,"",D572-F572)</x:f>
        <x:v>98.03999999999999</x:v>
      </x:c>
      <x:c r="L572" s="48" t="n">
        <x:f>IF(COUNT(E572,G572)&lt;2,"",E572-G572)</x:f>
        <x:v>111.67000000000002</x:v>
      </x:c>
      <x:c r="M572" s="31" t="str">
        <x:v>网站结构化接口</x:v>
      </x:c>
      <x:c r="N572" s="36" t="d">
        <x:v>2026-10-28T14:16:22.777Z</x:v>
      </x:c>
    </x:row>
    <x:row r="573">
      <x:c r="A573" s="36" t="d">
        <x:v>2026-07-26T00:00:00.000Z</x:v>
      </x:c>
      <x:c r="B573" s="48" t="n">
        <x:v>250.6</x:v>
      </x:c>
      <x:c r="C573" s="48" t="n">
        <x:v>269.26</x:v>
      </x:c>
      <x:c r="D573" s="48" t="n">
        <x:v>267.56</x:v>
      </x:c>
      <x:c r="E573" s="48" t="n">
        <x:v>291.62</x:v>
      </x:c>
      <x:c r="F573" s="48" t="n">
        <x:v>200.63</x:v>
      </x:c>
      <x:c r="G573" s="48" t="n">
        <x:v>200.51</x:v>
      </x:c>
      <x:c r="H573" s="49" t="n">
        <x:v>2370895.22</x:v>
      </x:c>
      <x:c r="I573" s="49" t="n">
        <x:v>2379497.34</x:v>
      </x:c>
      <x:c r="J573" s="48" t="n">
        <x:f>IF(COUNT(B573:C573)&lt;2,"",B573-C573)</x:f>
        <x:v>-18.659999999999997</x:v>
      </x:c>
      <x:c r="K573" s="48" t="n">
        <x:f>IF(COUNT(D573,F573)&lt;2,"",D573-F573)</x:f>
        <x:v>66.93</x:v>
      </x:c>
      <x:c r="L573" s="48" t="n">
        <x:f>IF(COUNT(E573,G573)&lt;2,"",E573-G573)</x:f>
        <x:v>91.11000000000001</x:v>
      </x:c>
      <x:c r="M573" s="31" t="str">
        <x:v>网站结构化接口</x:v>
      </x:c>
      <x:c r="N573" s="36" t="d">
        <x:v>2026-10-28T14:16:22.777Z</x:v>
      </x:c>
    </x:row>
    <x:row r="574">
      <x:c r="A574" s="36" t="d">
        <x:v>2026-07-27T00:00:00.000Z</x:v>
      </x:c>
      <x:c r="B574" s="48" t="n">
        <x:v>372.61</x:v>
      </x:c>
      <x:c r="C574" s="48" t="n">
        <x:v>253.16</x:v>
      </x:c>
      <x:c r="D574" s="48" t="n">
        <x:v>393.42</x:v>
      </x:c>
      <x:c r="E574" s="48" t="n">
        <x:v>262.14</x:v>
      </x:c>
      <x:c r="F574" s="48" t="n">
        <x:v>299.48</x:v>
      </x:c>
      <x:c r="G574" s="48" t="n">
        <x:v>213.44</x:v>
      </x:c>
      <x:c r="H574" s="49" t="n">
        <x:v>2518480.36</x:v>
      </x:c>
      <x:c r="I574" s="49" t="n">
        <x:v>2247146.9</x:v>
      </x:c>
      <x:c r="J574" s="48" t="n">
        <x:f>IF(COUNT(B574:C574)&lt;2,"",B574-C574)</x:f>
        <x:v>119.45000000000002</x:v>
      </x:c>
      <x:c r="K574" s="48" t="n">
        <x:f>IF(COUNT(D574,F574)&lt;2,"",D574-F574)</x:f>
        <x:v>93.94</x:v>
      </x:c>
      <x:c r="L574" s="48" t="n">
        <x:f>IF(COUNT(E574,G574)&lt;2,"",E574-G574)</x:f>
        <x:v>48.69999999999999</x:v>
      </x:c>
      <x:c r="M574" s="31" t="str">
        <x:v>网站结构化接口</x:v>
      </x:c>
      <x:c r="N574" s="36" t="d">
        <x:v>2026-10-28T14:16:22.777Z</x:v>
      </x:c>
    </x:row>
    <x:row r="575">
      <x:c r="A575" s="36" t="d">
        <x:v>2026-07-28T00:00:00.000Z</x:v>
      </x:c>
      <x:c r="B575" s="48" t="n">
        <x:v>187.43</x:v>
      </x:c>
      <x:c r="C575" s="48" t="n">
        <x:v>204.37</x:v>
      </x:c>
      <x:c r="D575" s="48" t="n">
        <x:v>207.85</x:v>
      </x:c>
      <x:c r="E575" s="48" t="n">
        <x:v>219.42</x:v>
      </x:c>
      <x:c r="F575" s="48" t="n">
        <x:v>138.06</x:v>
      </x:c>
      <x:c r="G575" s="48" t="n">
        <x:v>166.03</x:v>
      </x:c>
      <x:c r="H575" s="49" t="n">
        <x:v>2185007.92</x:v>
      </x:c>
      <x:c r="I575" s="49" t="n">
        <x:v>2162596.32</x:v>
      </x:c>
      <x:c r="J575" s="48" t="n">
        <x:f>IF(COUNT(B575:C575)&lt;2,"",B575-C575)</x:f>
        <x:v>-16.939999999999998</x:v>
      </x:c>
      <x:c r="K575" s="48" t="n">
        <x:f>IF(COUNT(D575,F575)&lt;2,"",D575-F575)</x:f>
        <x:v>69.78999999999999</x:v>
      </x:c>
      <x:c r="L575" s="48" t="n">
        <x:f>IF(COUNT(E575,G575)&lt;2,"",E575-G575)</x:f>
        <x:v>53.389999999999986</x:v>
      </x:c>
      <x:c r="M575" s="31" t="str">
        <x:v>网站结构化接口</x:v>
      </x:c>
      <x:c r="N575" s="36" t="d">
        <x:v>2026-10-28T14:16:22.777Z</x:v>
      </x:c>
    </x:row>
    <x:row r="576">
      <x:c r="A576" s="36" t="d">
        <x:v>2026-07-29T00:00:00.000Z</x:v>
      </x:c>
      <x:c r="B576" s="48" t="n">
        <x:v>200.19</x:v>
      </x:c>
      <x:c r="C576" s="48" t="n">
        <x:v>198.34</x:v>
      </x:c>
      <x:c r="D576" s="48" t="n">
        <x:v>214.44</x:v>
      </x:c>
      <x:c r="E576" s="48" t="n">
        <x:v>208.93</x:v>
      </x:c>
      <x:c r="F576" s="48" t="n">
        <x:v>164.76</x:v>
      </x:c>
      <x:c r="G576" s="48" t="n">
        <x:v>166.55</x:v>
      </x:c>
      <x:c r="H576" s="49" t="n">
        <x:v>2248114.86</x:v>
      </x:c>
      <x:c r="I576" s="49" t="n">
        <x:v>2217481.32</x:v>
      </x:c>
      <x:c r="J576" s="48" t="n">
        <x:f>IF(COUNT(B576:C576)&lt;2,"",B576-C576)</x:f>
        <x:v>1.8499999999999943</x:v>
      </x:c>
      <x:c r="K576" s="48" t="n">
        <x:f>IF(COUNT(D576,F576)&lt;2,"",D576-F576)</x:f>
        <x:v>49.68000000000001</x:v>
      </x:c>
      <x:c r="L576" s="48" t="n">
        <x:f>IF(COUNT(E576,G576)&lt;2,"",E576-G576)</x:f>
        <x:v>42.379999999999995</x:v>
      </x:c>
      <x:c r="M576" s="31" t="str">
        <x:v>网站结构化接口</x:v>
      </x:c>
      <x:c r="N576" s="36" t="d">
        <x:v>2026-10-28T14:16:22.777Z</x:v>
      </x:c>
    </x:row>
    <x:row r="577">
      <x:c r="A577" s="36" t="d">
        <x:v>2026-07-30T00:00:00.000Z</x:v>
      </x:c>
      <x:c r="B577" s="48" t="n">
        <x:v>220.9</x:v>
      </x:c>
      <x:c r="C577" s="48" t="n">
        <x:v>262.6</x:v>
      </x:c>
      <x:c r="D577" s="48" t="n">
        <x:v>242.48</x:v>
      </x:c>
      <x:c r="E577" s="48" t="n">
        <x:v>280.8</x:v>
      </x:c>
      <x:c r="F577" s="48" t="n">
        <x:v>149.14</x:v>
      </x:c>
      <x:c r="G577" s="48" t="n">
        <x:v>189.74</x:v>
      </x:c>
      <x:c r="H577" s="49" t="n">
        <x:v>2187765.15</x:v>
      </x:c>
      <x:c r="I577" s="49" t="n">
        <x:v>2265627.69</x:v>
      </x:c>
      <x:c r="J577" s="48" t="n">
        <x:f>IF(COUNT(B577:C577)&lt;2,"",B577-C577)</x:f>
        <x:v>-41.70000000000002</x:v>
      </x:c>
      <x:c r="K577" s="48" t="n">
        <x:f>IF(COUNT(D577,F577)&lt;2,"",D577-F577)</x:f>
        <x:v>93.34</x:v>
      </x:c>
      <x:c r="L577" s="48" t="n">
        <x:f>IF(COUNT(E577,G577)&lt;2,"",E577-G577)</x:f>
        <x:v>91.06</x:v>
      </x:c>
      <x:c r="M577" s="31" t="str">
        <x:v>网站结构化接口</x:v>
      </x:c>
      <x:c r="N577" s="36" t="d">
        <x:v>2026-10-28T14:16:22.777Z</x:v>
      </x:c>
    </x:row>
    <x:row r="578">
      <x:c r="A578" s="36" t="d">
        <x:v>2026-07-31T00:00:00.000Z</x:v>
      </x:c>
      <x:c r="B578" s="48" t="n">
        <x:v>314.53</x:v>
      </x:c>
      <x:c r="C578" s="48" t="n">
        <x:v>300.24</x:v>
      </x:c>
      <x:c r="D578" s="48" t="n">
        <x:v>327.41</x:v>
      </x:c>
      <x:c r="E578" s="48" t="n">
        <x:v>315.63</x:v>
      </x:c>
      <x:c r="F578" s="48" t="n">
        <x:v>231.88</x:v>
      </x:c>
      <x:c r="G578" s="48" t="n">
        <x:v>184.75</x:v>
      </x:c>
      <x:c r="H578" s="49" t="n">
        <x:v>2356872.03</x:v>
      </x:c>
      <x:c r="I578" s="49" t="n">
        <x:v>2258750.47</x:v>
      </x:c>
      <x:c r="J578" s="48" t="n">
        <x:f>IF(COUNT(B578:C578)&lt;2,"",B578-C578)</x:f>
        <x:v>14.289999999999964</x:v>
      </x:c>
      <x:c r="K578" s="48" t="n">
        <x:f>IF(COUNT(D578,F578)&lt;2,"",D578-F578)</x:f>
        <x:v>95.53000000000003</x:v>
      </x:c>
      <x:c r="L578" s="48" t="n">
        <x:f>IF(COUNT(E578,G578)&lt;2,"",E578-G578)</x:f>
        <x:v>130.88</x:v>
      </x:c>
      <x:c r="M578" s="31" t="str">
        <x:v>网站结构化接口</x:v>
      </x:c>
      <x:c r="N578" s="36" t="d">
        <x:v>2026-10-28T14:16:22.777Z</x:v>
      </x:c>
    </x:row>
    <x:row r="579">
      <x:c r="A579" s="36" t="d">
        <x:v>2026-08-01T00:00:00.000Z</x:v>
      </x:c>
      <x:c r="B579" s="48" t="n">
        <x:v>386.48</x:v>
      </x:c>
      <x:c r="C579" s="48" t="n">
        <x:v>323.06</x:v>
      </x:c>
      <x:c r="D579" s="48" t="n">
        <x:v>404.96</x:v>
      </x:c>
      <x:c r="E579" s="48" t="n">
        <x:v>339.19</x:v>
      </x:c>
      <x:c r="F579" s="48" t="n">
        <x:v>272.32</x:v>
      </x:c>
      <x:c r="G579" s="48" t="n">
        <x:v>233.25</x:v>
      </x:c>
      <x:c r="H579" s="49" t="n">
        <x:v>2375005.16</x:v>
      </x:c>
      <x:c r="I579" s="49" t="n">
        <x:v>2226863.31</x:v>
      </x:c>
      <x:c r="J579" s="48" t="n">
        <x:f>IF(COUNT(B579:C579)&lt;2,"",B579-C579)</x:f>
        <x:v>63.420000000000016</x:v>
      </x:c>
      <x:c r="K579" s="48" t="n">
        <x:f>IF(COUNT(D579,F579)&lt;2,"",D579-F579)</x:f>
        <x:v>132.64</x:v>
      </x:c>
      <x:c r="L579" s="48" t="n">
        <x:f>IF(COUNT(E579,G579)&lt;2,"",E579-G579)</x:f>
        <x:v>105.94</x:v>
      </x:c>
      <x:c r="M579" s="31" t="str">
        <x:v>网站结构化接口</x:v>
      </x:c>
      <x:c r="N579" s="36" t="d">
        <x:v>2026-10-28T14:16:22.777Z</x:v>
      </x:c>
    </x:row>
    <x:row r="580">
      <x:c r="A580" s="36" t="d">
        <x:v>2026-08-02T00:00:00.000Z</x:v>
      </x:c>
      <x:c r="B580" s="48" t="n">
        <x:v>319.2</x:v>
      </x:c>
      <x:c r="C580" s="48" t="n">
        <x:v>233.64</x:v>
      </x:c>
      <x:c r="D580" s="48" t="n">
        <x:v>324.43</x:v>
      </x:c>
      <x:c r="E580" s="48" t="n">
        <x:v>238.8</x:v>
      </x:c>
      <x:c r="F580" s="48" t="n">
        <x:v>282.65</x:v>
      </x:c>
      <x:c r="G580" s="48" t="n">
        <x:v>203.07</x:v>
      </x:c>
      <x:c r="H580" s="49" t="n">
        <x:v>2167148.57</x:v>
      </x:c>
      <x:c r="I580" s="49" t="n">
        <x:v>1878447.45</x:v>
      </x:c>
      <x:c r="J580" s="48" t="n">
        <x:f>IF(COUNT(B580:C580)&lt;2,"",B580-C580)</x:f>
        <x:v>85.56</x:v>
      </x:c>
      <x:c r="K580" s="48" t="n">
        <x:f>IF(COUNT(D580,F580)&lt;2,"",D580-F580)</x:f>
        <x:v>41.78000000000003</x:v>
      </x:c>
      <x:c r="L580" s="48" t="n">
        <x:f>IF(COUNT(E580,G580)&lt;2,"",E580-G580)</x:f>
        <x:v>35.73000000000002</x:v>
      </x:c>
      <x:c r="M580" s="31" t="str">
        <x:v>网站结构化接口</x:v>
      </x:c>
      <x:c r="N580" s="36" t="d">
        <x:v>2026-10-28T14:16:22.777Z</x:v>
      </x:c>
    </x:row>
    <x:row r="581">
      <x:c r="A581" s="36" t="d">
        <x:v>2026-08-03T00:00:00.000Z</x:v>
      </x:c>
      <x:c r="B581" s="48" t="n">
        <x:v>342.6</x:v>
      </x:c>
      <x:c r="C581" s="48" t="n">
        <x:v>295.72</x:v>
      </x:c>
      <x:c r="D581" s="48" t="n">
        <x:v>364.53</x:v>
      </x:c>
      <x:c r="E581" s="48" t="n">
        <x:v>316.35</x:v>
      </x:c>
      <x:c r="F581" s="48" t="n">
        <x:v>221.7</x:v>
      </x:c>
      <x:c r="G581" s="48" t="n">
        <x:v>184.59</x:v>
      </x:c>
      <x:c r="H581" s="49" t="n">
        <x:v>2066805.17</x:v>
      </x:c>
      <x:c r="I581" s="49" t="n">
        <x:v>1904050.23</x:v>
      </x:c>
      <x:c r="J581" s="48" t="n">
        <x:f>IF(COUNT(B581:C581)&lt;2,"",B581-C581)</x:f>
        <x:v>46.879999999999995</x:v>
      </x:c>
      <x:c r="K581" s="48" t="n">
        <x:f>IF(COUNT(D581,F581)&lt;2,"",D581-F581)</x:f>
        <x:v>142.82999999999998</x:v>
      </x:c>
      <x:c r="L581" s="48" t="n">
        <x:f>IF(COUNT(E581,G581)&lt;2,"",E581-G581)</x:f>
        <x:v>131.76000000000002</x:v>
      </x:c>
      <x:c r="M581" s="31" t="str">
        <x:v>网站结构化接口</x:v>
      </x:c>
      <x:c r="N581" s="36" t="d">
        <x:v>2026-10-28T14:16:22.777Z</x:v>
      </x:c>
    </x:row>
    <x:row r="582">
      <x:c r="A582" s="36" t="d">
        <x:v>2026-08-04T00:00:00.000Z</x:v>
      </x:c>
      <x:c r="B582" s="48" t="n">
        <x:v>197.59</x:v>
      </x:c>
      <x:c r="C582" s="48" t="n">
        <x:v>217.72</x:v>
      </x:c>
      <x:c r="D582" s="48" t="n">
        <x:v>229.68</x:v>
      </x:c>
      <x:c r="E582" s="48" t="n">
        <x:v>245.13</x:v>
      </x:c>
      <x:c r="F582" s="48" t="n">
        <x:v>79.66</x:v>
      </x:c>
      <x:c r="G582" s="48" t="n">
        <x:v>114.8</x:v>
      </x:c>
      <x:c r="H582" s="49" t="n">
        <x:v>1727454.12</x:v>
      </x:c>
      <x:c r="I582" s="49" t="n">
        <x:v>1775417.57</x:v>
      </x:c>
      <x:c r="J582" s="48" t="n">
        <x:f>IF(COUNT(B582:C582)&lt;2,"",B582-C582)</x:f>
        <x:v>-20.129999999999995</x:v>
      </x:c>
      <x:c r="K582" s="48" t="n">
        <x:f>IF(COUNT(D582,F582)&lt;2,"",D582-F582)</x:f>
        <x:v>150.02</x:v>
      </x:c>
      <x:c r="L582" s="48" t="n">
        <x:f>IF(COUNT(E582,G582)&lt;2,"",E582-G582)</x:f>
        <x:v>130.32999999999998</x:v>
      </x:c>
      <x:c r="M582" s="31" t="str">
        <x:v>网站结构化接口</x:v>
      </x:c>
      <x:c r="N582" s="36" t="d">
        <x:v>2026-10-28T14:16:22.777Z</x:v>
      </x:c>
    </x:row>
    <x:row r="583">
      <x:c r="A583" s="36" t="d">
        <x:v>2026-08-05T00:00:00.000Z</x:v>
      </x:c>
      <x:c r="B583" s="48" t="n">
        <x:v>141.09</x:v>
      </x:c>
      <x:c r="C583" s="48" t="n">
        <x:v>115.05</x:v>
      </x:c>
      <x:c r="D583" s="48" t="n">
        <x:v>161.05</x:v>
      </x:c>
      <x:c r="E583" s="48" t="n">
        <x:v>125.95</x:v>
      </x:c>
      <x:c r="F583" s="48" t="n">
        <x:v>64.98</x:v>
      </x:c>
      <x:c r="G583" s="48" t="n">
        <x:v>70.21</x:v>
      </x:c>
      <x:c r="H583" s="49" t="n">
        <x:v>1753089.46</x:v>
      </x:c>
      <x:c r="I583" s="49" t="n">
        <x:v>1769204.92</x:v>
      </x:c>
      <x:c r="J583" s="48" t="n">
        <x:f>IF(COUNT(B583:C583)&lt;2,"",B583-C583)</x:f>
        <x:v>26.040000000000006</x:v>
      </x:c>
      <x:c r="K583" s="48" t="n">
        <x:f>IF(COUNT(D583,F583)&lt;2,"",D583-F583)</x:f>
        <x:v>96.07000000000001</x:v>
      </x:c>
      <x:c r="L583" s="48" t="n">
        <x:f>IF(COUNT(E583,G583)&lt;2,"",E583-G583)</x:f>
        <x:v>55.74000000000001</x:v>
      </x:c>
      <x:c r="M583" s="31" t="str">
        <x:v>网站结构化接口</x:v>
      </x:c>
      <x:c r="N583" s="36" t="d">
        <x:v>2026-10-28T14:16:22.777Z</x:v>
      </x:c>
    </x:row>
    <x:row r="584">
      <x:c r="A584" s="36" t="d">
        <x:v>2026-08-06T00:00:00.000Z</x:v>
      </x:c>
      <x:c r="B584" s="48" t="n">
        <x:v>97.48</x:v>
      </x:c>
      <x:c r="C584" s="48" t="n">
        <x:v>87.57</x:v>
      </x:c>
      <x:c r="D584" s="48" t="n">
        <x:v>115.83</x:v>
      </x:c>
      <x:c r="E584" s="48" t="n">
        <x:v>101.09</x:v>
      </x:c>
      <x:c r="F584" s="48" t="n">
        <x:v>37.15</x:v>
      </x:c>
      <x:c r="G584" s="48" t="n">
        <x:v>42.18</x:v>
      </x:c>
      <x:c r="H584" s="49" t="n">
        <x:v>1722843.02</x:v>
      </x:c>
      <x:c r="I584" s="49" t="n">
        <x:v>1764790.11</x:v>
      </x:c>
      <x:c r="J584" s="48" t="n">
        <x:f>IF(COUNT(B584:C584)&lt;2,"",B584-C584)</x:f>
        <x:v>9.91000000000001</x:v>
      </x:c>
      <x:c r="K584" s="48" t="n">
        <x:f>IF(COUNT(D584,F584)&lt;2,"",D584-F584)</x:f>
        <x:v>78.68</x:v>
      </x:c>
      <x:c r="L584" s="48" t="n">
        <x:f>IF(COUNT(E584,G584)&lt;2,"",E584-G584)</x:f>
        <x:v>58.910000000000004</x:v>
      </x:c>
      <x:c r="M584" s="31" t="str">
        <x:v>网站结构化接口</x:v>
      </x:c>
      <x:c r="N584" s="36" t="d">
        <x:v>2026-10-28T14:16:22.777Z</x:v>
      </x:c>
    </x:row>
    <x:row r="585">
      <x:c r="A585" s="36" t="d">
        <x:v>2026-08-07T00:00:00.000Z</x:v>
      </x:c>
      <x:c r="B585" s="48" t="n">
        <x:v>149.84</x:v>
      </x:c>
      <x:c r="C585" s="48" t="n">
        <x:v>155.81</x:v>
      </x:c>
      <x:c r="D585" s="48" t="n">
        <x:v>185.13</x:v>
      </x:c>
      <x:c r="E585" s="48" t="n">
        <x:v>190.87</x:v>
      </x:c>
      <x:c r="F585" s="48" t="n">
        <x:v>51.78</x:v>
      </x:c>
      <x:c r="G585" s="48" t="n">
        <x:v>62.02</x:v>
      </x:c>
      <x:c r="H585" s="49" t="n">
        <x:v>1774100.96</x:v>
      </x:c>
      <x:c r="I585" s="49" t="n">
        <x:v>1840146.98</x:v>
      </x:c>
      <x:c r="J585" s="48" t="n">
        <x:f>IF(COUNT(B585:C585)&lt;2,"",B585-C585)</x:f>
        <x:v>-5.969999999999999</x:v>
      </x:c>
      <x:c r="K585" s="48" t="n">
        <x:f>IF(COUNT(D585,F585)&lt;2,"",D585-F585)</x:f>
        <x:v>133.35</x:v>
      </x:c>
      <x:c r="L585" s="48" t="n">
        <x:f>IF(COUNT(E585,G585)&lt;2,"",E585-G585)</x:f>
        <x:v>128.85</x:v>
      </x:c>
      <x:c r="M585" s="31" t="str">
        <x:v>网站结构化接口</x:v>
      </x:c>
      <x:c r="N585" s="36" t="d">
        <x:v>2026-10-28T14:16:22.777Z</x:v>
      </x:c>
    </x:row>
    <x:row r="586">
      <x:c r="A586" s="36" t="d">
        <x:v>2026-08-08T00:00:00.000Z</x:v>
      </x:c>
      <x:c r="B586" s="48" t="n">
        <x:v>96.86</x:v>
      </x:c>
      <x:c r="C586" s="48" t="n">
        <x:v>142.23</x:v>
      </x:c>
      <x:c r="D586" s="48" t="n">
        <x:v>120.34</x:v>
      </x:c>
      <x:c r="E586" s="48" t="n">
        <x:v>177.47</x:v>
      </x:c>
      <x:c r="F586" s="48" t="n">
        <x:v>50.49</x:v>
      </x:c>
      <x:c r="G586" s="48" t="n">
        <x:v>72.24</x:v>
      </x:c>
      <x:c r="H586" s="49" t="n">
        <x:v>1845154.76</x:v>
      </x:c>
      <x:c r="I586" s="49" t="n">
        <x:v>1881067.31</x:v>
      </x:c>
      <x:c r="J586" s="48" t="n">
        <x:f>IF(COUNT(B586:C586)&lt;2,"",B586-C586)</x:f>
        <x:v>-45.36999999999999</x:v>
      </x:c>
      <x:c r="K586" s="48" t="n">
        <x:f>IF(COUNT(D586,F586)&lt;2,"",D586-F586)</x:f>
        <x:v>69.85</x:v>
      </x:c>
      <x:c r="L586" s="48" t="n">
        <x:f>IF(COUNT(E586,G586)&lt;2,"",E586-G586)</x:f>
        <x:v>105.23</x:v>
      </x:c>
      <x:c r="M586" s="31" t="str">
        <x:v>网站结构化接口</x:v>
      </x:c>
      <x:c r="N586" s="36" t="d">
        <x:v>2026-10-28T14:16:22.777Z</x:v>
      </x:c>
    </x:row>
    <x:row r="587">
      <x:c r="A587" s="36" t="d">
        <x:v>2026-08-09T00:00:00.000Z</x:v>
      </x:c>
      <x:c r="B587" s="48" t="n">
        <x:v>79.03</x:v>
      </x:c>
      <x:c r="C587" s="48" t="n">
        <x:v>112.38</x:v>
      </x:c>
      <x:c r="D587" s="48" t="n">
        <x:v>100.62</x:v>
      </x:c>
      <x:c r="E587" s="48" t="n">
        <x:v>145.57</x:v>
      </x:c>
      <x:c r="F587" s="48" t="n">
        <x:v>38.26</x:v>
      </x:c>
      <x:c r="G587" s="48" t="n">
        <x:v>49.07</x:v>
      </x:c>
      <x:c r="H587" s="49" t="n">
        <x:v>1843860.37</x:v>
      </x:c>
      <x:c r="I587" s="49" t="n">
        <x:v>1890236.87</x:v>
      </x:c>
      <x:c r="J587" s="48" t="n">
        <x:f>IF(COUNT(B587:C587)&lt;2,"",B587-C587)</x:f>
        <x:v>-33.349999999999994</x:v>
      </x:c>
      <x:c r="K587" s="48" t="n">
        <x:f>IF(COUNT(D587,F587)&lt;2,"",D587-F587)</x:f>
        <x:v>62.36000000000001</x:v>
      </x:c>
      <x:c r="L587" s="48" t="n">
        <x:f>IF(COUNT(E587,G587)&lt;2,"",E587-G587)</x:f>
        <x:v>96.5</x:v>
      </x:c>
      <x:c r="M587" s="31" t="str">
        <x:v>网站结构化接口</x:v>
      </x:c>
      <x:c r="N587" s="36" t="d">
        <x:v>2026-10-28T14:16:22.777Z</x:v>
      </x:c>
    </x:row>
    <x:row r="588">
      <x:c r="A588" s="36" t="d">
        <x:v>2026-08-10T00:00:00.000Z</x:v>
      </x:c>
      <x:c r="B588" s="48" t="n">
        <x:v>99.59</x:v>
      </x:c>
      <x:c r="C588" s="48" t="n">
        <x:v>143.05</x:v>
      </x:c>
      <x:c r="D588" s="48" t="n">
        <x:v>123.9</x:v>
      </x:c>
      <x:c r="E588" s="48" t="n">
        <x:v>182.83</x:v>
      </x:c>
      <x:c r="F588" s="48" t="n">
        <x:v>45.88</x:v>
      </x:c>
      <x:c r="G588" s="48" t="n">
        <x:v>71.62</x:v>
      </x:c>
      <x:c r="H588" s="49" t="n">
        <x:v>1877678.42</x:v>
      </x:c>
      <x:c r="I588" s="49" t="n">
        <x:v>2055502.81</x:v>
      </x:c>
      <x:c r="J588" s="48" t="n">
        <x:f>IF(COUNT(B588:C588)&lt;2,"",B588-C588)</x:f>
        <x:v>-43.46000000000001</x:v>
      </x:c>
      <x:c r="K588" s="48" t="n">
        <x:f>IF(COUNT(D588,F588)&lt;2,"",D588-F588)</x:f>
        <x:v>78.02000000000001</x:v>
      </x:c>
      <x:c r="L588" s="48" t="n">
        <x:f>IF(COUNT(E588,G588)&lt;2,"",E588-G588)</x:f>
        <x:v>111.21000000000001</x:v>
      </x:c>
      <x:c r="M588" s="31" t="str">
        <x:v>网站结构化接口</x:v>
      </x:c>
      <x:c r="N588" s="36" t="d">
        <x:v>2026-10-28T14:16:22.777Z</x:v>
      </x:c>
    </x:row>
    <x:row r="589">
      <x:c r="A589" s="36" t="d">
        <x:v>2026-08-11T00:00:00.000Z</x:v>
      </x:c>
      <x:c r="B589" s="48" t="n">
        <x:v>175.49</x:v>
      </x:c>
      <x:c r="C589" s="48" t="n">
        <x:v>153.63</x:v>
      </x:c>
      <x:c r="D589" s="48" t="n">
        <x:v>201.39</x:v>
      </x:c>
      <x:c r="E589" s="48" t="n">
        <x:v>170.14</x:v>
      </x:c>
      <x:c r="F589" s="48" t="n">
        <x:v>96.38</x:v>
      </x:c>
      <x:c r="G589" s="48" t="n">
        <x:v>98.97</x:v>
      </x:c>
      <x:c r="H589" s="49" t="n">
        <x:v>2081865.37</x:v>
      </x:c>
      <x:c r="I589" s="49" t="n">
        <x:v>2134517.9</x:v>
      </x:c>
      <x:c r="J589" s="48" t="n">
        <x:f>IF(COUNT(B589:C589)&lt;2,"",B589-C589)</x:f>
        <x:v>21.860000000000014</x:v>
      </x:c>
      <x:c r="K589" s="48" t="n">
        <x:f>IF(COUNT(D589,F589)&lt;2,"",D589-F589)</x:f>
        <x:v>105.00999999999999</x:v>
      </x:c>
      <x:c r="L589" s="48" t="n">
        <x:f>IF(COUNT(E589,G589)&lt;2,"",E589-G589)</x:f>
        <x:v>71.16999999999999</x:v>
      </x:c>
      <x:c r="M589" s="31" t="str">
        <x:v>网站结构化接口</x:v>
      </x:c>
      <x:c r="N589" s="36" t="d">
        <x:v>2026-10-28T14:16:22.777Z</x:v>
      </x:c>
    </x:row>
    <x:row r="590">
      <x:c r="A590" s="36" t="d">
        <x:v>2026-08-12T00:00:00.000Z</x:v>
      </x:c>
      <x:c r="B590" s="48" t="n">
        <x:v>96.83</x:v>
      </x:c>
      <x:c r="C590" s="48" t="n">
        <x:v>97.13</x:v>
      </x:c>
      <x:c r="D590" s="48" t="n">
        <x:v>122.07</x:v>
      </x:c>
      <x:c r="E590" s="48" t="n">
        <x:v>119.81</x:v>
      </x:c>
      <x:c r="F590" s="48" t="n">
        <x:v>41.01</x:v>
      </x:c>
      <x:c r="G590" s="48" t="n">
        <x:v>38.58</x:v>
      </x:c>
      <x:c r="H590" s="49" t="n">
        <x:v>1977885</x:v>
      </x:c>
      <x:c r="I590" s="49" t="n">
        <x:v>1991710.83</x:v>
      </x:c>
      <x:c r="J590" s="48" t="n">
        <x:f>IF(COUNT(B590:C590)&lt;2,"",B590-C590)</x:f>
        <x:v>-0.29999999999999716</x:v>
      </x:c>
      <x:c r="K590" s="48" t="n">
        <x:f>IF(COUNT(D590,F590)&lt;2,"",D590-F590)</x:f>
        <x:v>81.06</x:v>
      </x:c>
      <x:c r="L590" s="48" t="n">
        <x:f>IF(COUNT(E590,G590)&lt;2,"",E590-G590)</x:f>
        <x:v>81.23</x:v>
      </x:c>
      <x:c r="M590" s="31" t="str">
        <x:v>网站结构化接口</x:v>
      </x:c>
      <x:c r="N590" s="36" t="d">
        <x:v>2026-10-28T14:16:22.777Z</x:v>
      </x:c>
    </x:row>
    <x:row r="591">
      <x:c r="A591" s="36" t="d">
        <x:v>2026-08-13T00:00:00.000Z</x:v>
      </x:c>
      <x:c r="B591" s="48" t="n">
        <x:v>152.83</x:v>
      </x:c>
      <x:c r="C591" s="48" t="n">
        <x:v>181.94</x:v>
      </x:c>
      <x:c r="D591" s="48" t="n">
        <x:v>186.75</x:v>
      </x:c>
      <x:c r="E591" s="48" t="n">
        <x:v>224.96</x:v>
      </x:c>
      <x:c r="F591" s="48" t="n">
        <x:v>40.9</x:v>
      </x:c>
      <x:c r="G591" s="48" t="n">
        <x:v>41.99</x:v>
      </x:c>
      <x:c r="H591" s="49" t="n">
        <x:v>1833388.39</x:v>
      </x:c>
      <x:c r="I591" s="49" t="n">
        <x:v>1889560.82</x:v>
      </x:c>
      <x:c r="J591" s="48" t="n">
        <x:f>IF(COUNT(B591:C591)&lt;2,"",B591-C591)</x:f>
        <x:v>-29.109999999999985</x:v>
      </x:c>
      <x:c r="K591" s="48" t="n">
        <x:f>IF(COUNT(D591,F591)&lt;2,"",D591-F591)</x:f>
        <x:v>145.85</x:v>
      </x:c>
      <x:c r="L591" s="48" t="n">
        <x:f>IF(COUNT(E591,G591)&lt;2,"",E591-G591)</x:f>
        <x:v>182.97</x:v>
      </x:c>
      <x:c r="M591" s="31" t="str">
        <x:v>网站结构化接口</x:v>
      </x:c>
      <x:c r="N591" s="36" t="d">
        <x:v>2026-10-28T14:16:22.777Z</x:v>
      </x:c>
    </x:row>
    <x:row r="592">
      <x:c r="A592" s="36" t="d">
        <x:v>2026-08-14T00:00:00.000Z</x:v>
      </x:c>
      <x:c r="B592" s="48" t="n">
        <x:v>165.17</x:v>
      </x:c>
      <x:c r="C592" s="48" t="n">
        <x:v>146</x:v>
      </x:c>
      <x:c r="D592" s="48" t="n">
        <x:v>198.46</x:v>
      </x:c>
      <x:c r="E592" s="48" t="n">
        <x:v>178.32</x:v>
      </x:c>
      <x:c r="F592" s="48" t="n">
        <x:v>59.46</x:v>
      </x:c>
      <x:c r="G592" s="48" t="n">
        <x:v>62.97</x:v>
      </x:c>
      <x:c r="H592" s="49" t="n">
        <x:v>1894923.18</x:v>
      </x:c>
      <x:c r="I592" s="49" t="n">
        <x:v>1894662.83</x:v>
      </x:c>
      <x:c r="J592" s="48" t="n">
        <x:f>IF(COUNT(B592:C592)&lt;2,"",B592-C592)</x:f>
        <x:v>19.169999999999987</x:v>
      </x:c>
      <x:c r="K592" s="48" t="n">
        <x:f>IF(COUNT(D592,F592)&lt;2,"",D592-F592)</x:f>
        <x:v>139</x:v>
      </x:c>
      <x:c r="L592" s="48" t="n">
        <x:f>IF(COUNT(E592,G592)&lt;2,"",E592-G592)</x:f>
        <x:v>115.35</x:v>
      </x:c>
      <x:c r="M592" s="31" t="str">
        <x:v>网站结构化接口</x:v>
      </x:c>
      <x:c r="N592" s="36" t="d">
        <x:v>2026-10-28T14:16:22.777Z</x:v>
      </x:c>
    </x:row>
    <x:row r="593">
      <x:c r="A593" s="36" t="d">
        <x:v>2026-08-15T00:00:00.000Z</x:v>
      </x:c>
      <x:c r="B593" s="48" t="n">
        <x:v>143.01</x:v>
      </x:c>
      <x:c r="C593" s="48" t="n">
        <x:v>131.89</x:v>
      </x:c>
      <x:c r="D593" s="48" t="n">
        <x:v>171.23</x:v>
      </x:c>
      <x:c r="E593" s="48" t="n">
        <x:v>155.94</x:v>
      </x:c>
      <x:c r="F593" s="48" t="n">
        <x:v>60.69</x:v>
      </x:c>
      <x:c r="G593" s="48" t="n">
        <x:v>67.97</x:v>
      </x:c>
      <x:c r="H593" s="49" t="n">
        <x:v>1951241.23</x:v>
      </x:c>
      <x:c r="I593" s="49" t="n">
        <x:v>1978013.77</x:v>
      </x:c>
      <x:c r="J593" s="48" t="n">
        <x:f>IF(COUNT(B593:C593)&lt;2,"",B593-C593)</x:f>
        <x:v>11.120000000000005</x:v>
      </x:c>
      <x:c r="K593" s="48" t="n">
        <x:f>IF(COUNT(D593,F593)&lt;2,"",D593-F593)</x:f>
        <x:v>110.53999999999999</x:v>
      </x:c>
      <x:c r="L593" s="48" t="n">
        <x:f>IF(COUNT(E593,G593)&lt;2,"",E593-G593)</x:f>
        <x:v>87.97</x:v>
      </x:c>
      <x:c r="M593" s="31" t="str">
        <x:v>网站结构化接口</x:v>
      </x:c>
      <x:c r="N593" s="36" t="d">
        <x:v>2026-10-28T14:16:22.777Z</x:v>
      </x:c>
    </x:row>
    <x:row r="594">
      <x:c r="A594" s="36" t="d">
        <x:v>2026-08-16T00:00:00.000Z</x:v>
      </x:c>
      <x:c r="B594" s="48" t="n">
        <x:v>183.57</x:v>
      </x:c>
      <x:c r="C594" s="48" t="n">
        <x:v>290.2</x:v>
      </x:c>
      <x:c r="D594" s="48" t="n">
        <x:v>214</x:v>
      </x:c>
      <x:c r="E594" s="48" t="n">
        <x:v>338.29</x:v>
      </x:c>
      <x:c r="F594" s="48" t="n">
        <x:v>63.28</x:v>
      </x:c>
      <x:c r="G594" s="48" t="n">
        <x:v>86.15</x:v>
      </x:c>
      <x:c r="H594" s="49" t="n">
        <x:v>2074016.45</x:v>
      </x:c>
      <x:c r="I594" s="49" t="n">
        <x:v>2083593.9</x:v>
      </x:c>
      <x:c r="J594" s="48" t="n">
        <x:f>IF(COUNT(B594:C594)&lt;2,"",B594-C594)</x:f>
        <x:v>-106.63</x:v>
      </x:c>
      <x:c r="K594" s="48" t="n">
        <x:f>IF(COUNT(D594,F594)&lt;2,"",D594-F594)</x:f>
        <x:v>150.72</x:v>
      </x:c>
      <x:c r="L594" s="48" t="n">
        <x:f>IF(COUNT(E594,G594)&lt;2,"",E594-G594)</x:f>
        <x:v>252.14000000000001</x:v>
      </x:c>
      <x:c r="M594" s="31" t="str">
        <x:v>网站结构化接口</x:v>
      </x:c>
      <x:c r="N594" s="36" t="d">
        <x:v>2026-10-28T14:16:22.777Z</x:v>
      </x:c>
    </x:row>
    <x:row r="595">
      <x:c r="A595" s="36" t="d">
        <x:v>2026-08-17T00:00:00.000Z</x:v>
      </x:c>
      <x:c r="B595" s="48" t="n">
        <x:v>259.92</x:v>
      </x:c>
      <x:c r="C595" s="48" t="n">
        <x:v>321.26</x:v>
      </x:c>
      <x:c r="D595" s="48" t="n">
        <x:v>271.18</x:v>
      </x:c>
      <x:c r="E595" s="48" t="n">
        <x:v>338.11</x:v>
      </x:c>
      <x:c r="F595" s="48" t="n">
        <x:v>188.96</x:v>
      </x:c>
      <x:c r="G595" s="48" t="n">
        <x:v>215.09</x:v>
      </x:c>
      <x:c r="H595" s="49" t="n">
        <x:v>2145643.55</x:v>
      </x:c>
      <x:c r="I595" s="49" t="n">
        <x:v>2197937.94</x:v>
      </x:c>
      <x:c r="J595" s="48" t="n">
        <x:f>IF(COUNT(B595:C595)&lt;2,"",B595-C595)</x:f>
        <x:v>-61.339999999999975</x:v>
      </x:c>
      <x:c r="K595" s="48" t="n">
        <x:f>IF(COUNT(D595,F595)&lt;2,"",D595-F595)</x:f>
        <x:v>82.22</x:v>
      </x:c>
      <x:c r="L595" s="48" t="n">
        <x:f>IF(COUNT(E595,G595)&lt;2,"",E595-G595)</x:f>
        <x:v>123.02000000000001</x:v>
      </x:c>
      <x:c r="M595" s="31" t="str">
        <x:v>网站结构化接口</x:v>
      </x:c>
      <x:c r="N595" s="36" t="d">
        <x:v>2026-10-28T14:16:22.777Z</x:v>
      </x:c>
    </x:row>
    <x:row r="596">
      <x:c r="A596" s="36" t="d">
        <x:v>2026-08-18T00:00:00.000Z</x:v>
      </x:c>
      <x:c r="B596" s="48" t="n">
        <x:v>379.56</x:v>
      </x:c>
      <x:c r="C596" s="48" t="n">
        <x:v>303.41</x:v>
      </x:c>
      <x:c r="D596" s="48" t="n">
        <x:v>417.63</x:v>
      </x:c>
      <x:c r="E596" s="48" t="n">
        <x:v>328.83</x:v>
      </x:c>
      <x:c r="F596" s="48" t="n">
        <x:v>162.46</x:v>
      </x:c>
      <x:c r="G596" s="48" t="n">
        <x:v>165.87</x:v>
      </x:c>
      <x:c r="H596" s="49" t="n">
        <x:v>2226909.44</x:v>
      </x:c>
      <x:c r="I596" s="49" t="n">
        <x:v>2152871.47</x:v>
      </x:c>
      <x:c r="J596" s="48" t="n">
        <x:f>IF(COUNT(B596:C596)&lt;2,"",B596-C596)</x:f>
        <x:v>76.14999999999998</x:v>
      </x:c>
      <x:c r="K596" s="48" t="n">
        <x:f>IF(COUNT(D596,F596)&lt;2,"",D596-F596)</x:f>
        <x:v>255.17</x:v>
      </x:c>
      <x:c r="L596" s="48" t="n">
        <x:f>IF(COUNT(E596,G596)&lt;2,"",E596-G596)</x:f>
        <x:v>162.95999999999998</x:v>
      </x:c>
      <x:c r="M596" s="31" t="str">
        <x:v>网站结构化接口</x:v>
      </x:c>
      <x:c r="N596" s="36" t="d">
        <x:v>2026-10-28T14:16:22.777Z</x:v>
      </x:c>
    </x:row>
    <x:row r="597">
      <x:c r="A597" s="36" t="d">
        <x:v>2026-08-19T00:00:00.000Z</x:v>
      </x:c>
      <x:c r="B597" s="48" t="n">
        <x:v>133.2</x:v>
      </x:c>
      <x:c r="C597" s="48" t="n">
        <x:v>141.97</x:v>
      </x:c>
      <x:c r="D597" s="48" t="n">
        <x:v>158.25</x:v>
      </x:c>
      <x:c r="E597" s="48" t="n">
        <x:v>167.87</x:v>
      </x:c>
      <x:c r="F597" s="48" t="n">
        <x:v>68.21</x:v>
      </x:c>
      <x:c r="G597" s="48" t="n">
        <x:v>78.37</x:v>
      </x:c>
      <x:c r="H597" s="49" t="n">
        <x:v>1929532.85</x:v>
      </x:c>
      <x:c r="I597" s="49" t="n">
        <x:v>1997692.97</x:v>
      </x:c>
      <x:c r="J597" s="48" t="n">
        <x:f>IF(COUNT(B597:C597)&lt;2,"",B597-C597)</x:f>
        <x:v>-8.77000000000001</x:v>
      </x:c>
      <x:c r="K597" s="48" t="n">
        <x:f>IF(COUNT(D597,F597)&lt;2,"",D597-F597)</x:f>
        <x:v>90.04</x:v>
      </x:c>
      <x:c r="L597" s="48" t="n">
        <x:f>IF(COUNT(E597,G597)&lt;2,"",E597-G597)</x:f>
        <x:v>89.5</x:v>
      </x:c>
      <x:c r="M597" s="31" t="str">
        <x:v>网站结构化接口</x:v>
      </x:c>
      <x:c r="N597" s="36" t="d">
        <x:v>2026-10-28T14:16:22.777Z</x:v>
      </x:c>
    </x:row>
    <x:row r="598">
      <x:c r="A598" s="36" t="d">
        <x:v>2026-08-20T00:00:00.000Z</x:v>
      </x:c>
      <x:c r="B598" s="48" t="n">
        <x:v>73.46</x:v>
      </x:c>
      <x:c r="C598" s="48" t="n">
        <x:v>99.22</x:v>
      </x:c>
      <x:c r="D598" s="48" t="n">
        <x:v>90.08</x:v>
      </x:c>
      <x:c r="E598" s="48" t="n">
        <x:v>122.3</x:v>
      </x:c>
      <x:c r="F598" s="48" t="n">
        <x:v>37.88</x:v>
      </x:c>
      <x:c r="G598" s="48" t="n">
        <x:v>53.09</x:v>
      </x:c>
      <x:c r="H598" s="49" t="n">
        <x:v>2017345.17</x:v>
      </x:c>
      <x:c r="I598" s="49" t="n">
        <x:v>2087247.32</x:v>
      </x:c>
      <x:c r="J598" s="48" t="n">
        <x:f>IF(COUNT(B598:C598)&lt;2,"",B598-C598)</x:f>
        <x:v>-25.760000000000005</x:v>
      </x:c>
      <x:c r="K598" s="48" t="n">
        <x:f>IF(COUNT(D598,F598)&lt;2,"",D598-F598)</x:f>
        <x:v>52.199999999999996</x:v>
      </x:c>
      <x:c r="L598" s="48" t="n">
        <x:f>IF(COUNT(E598,G598)&lt;2,"",E598-G598)</x:f>
        <x:v>69.21</x:v>
      </x:c>
      <x:c r="M598" s="31" t="str">
        <x:v>网站结构化接口</x:v>
      </x:c>
      <x:c r="N598" s="36" t="d">
        <x:v>2026-10-28T14:16:22.777Z</x:v>
      </x:c>
    </x:row>
    <x:row r="599">
      <x:c r="A599" s="36" t="d">
        <x:v>2026-08-21T00:00:00.000Z</x:v>
      </x:c>
      <x:c r="B599" s="48" t="n">
        <x:v>181.7</x:v>
      </x:c>
      <x:c r="C599" s="48" t="n">
        <x:v>196.3</x:v>
      </x:c>
      <x:c r="D599" s="48" t="n">
        <x:v>222.41</x:v>
      </x:c>
      <x:c r="E599" s="48" t="n">
        <x:v>234.02</x:v>
      </x:c>
      <x:c r="F599" s="48" t="n">
        <x:v>91.44</x:v>
      </x:c>
      <x:c r="G599" s="48" t="n">
        <x:v>113.94</x:v>
      </x:c>
      <x:c r="H599" s="49" t="n">
        <x:v>2173343.6</x:v>
      </x:c>
      <x:c r="I599" s="49" t="n">
        <x:v>2251066.18</x:v>
      </x:c>
      <x:c r="J599" s="48" t="n">
        <x:f>IF(COUNT(B599:C599)&lt;2,"",B599-C599)</x:f>
        <x:v>-14.600000000000023</x:v>
      </x:c>
      <x:c r="K599" s="48" t="n">
        <x:f>IF(COUNT(D599,F599)&lt;2,"",D599-F599)</x:f>
        <x:v>130.97</x:v>
      </x:c>
      <x:c r="L599" s="48" t="n">
        <x:f>IF(COUNT(E599,G599)&lt;2,"",E599-G599)</x:f>
        <x:v>120.08000000000001</x:v>
      </x:c>
      <x:c r="M599" s="31" t="str">
        <x:v>网站结构化接口</x:v>
      </x:c>
      <x:c r="N599" s="36" t="d">
        <x:v>2026-10-28T14:16:22.777Z</x:v>
      </x:c>
    </x:row>
    <x:row r="600">
      <x:c r="A600" s="36" t="d">
        <x:v>2026-08-22T00:00:00.000Z</x:v>
      </x:c>
      <x:c r="B600" s="48" t="n">
        <x:v>293.96</x:v>
      </x:c>
      <x:c r="C600" s="48" t="n">
        <x:v>400.36</x:v>
      </x:c>
      <x:c r="D600" s="48" t="n">
        <x:v>344.9</x:v>
      </x:c>
      <x:c r="E600" s="48" t="n">
        <x:v>457.62</x:v>
      </x:c>
      <x:c r="F600" s="48" t="n">
        <x:v>146.95</x:v>
      </x:c>
      <x:c r="G600" s="48" t="n">
        <x:v>224.51</x:v>
      </x:c>
      <x:c r="H600" s="49" t="n">
        <x:v>2319669.19</x:v>
      </x:c>
      <x:c r="I600" s="49" t="n">
        <x:v>2399429.6</x:v>
      </x:c>
      <x:c r="J600" s="48" t="n">
        <x:f>IF(COUNT(B600:C600)&lt;2,"",B600-C600)</x:f>
        <x:v>-106.40000000000003</x:v>
      </x:c>
      <x:c r="K600" s="48" t="n">
        <x:f>IF(COUNT(D600,F600)&lt;2,"",D600-F600)</x:f>
        <x:v>197.95</x:v>
      </x:c>
      <x:c r="L600" s="48" t="n">
        <x:f>IF(COUNT(E600,G600)&lt;2,"",E600-G600)</x:f>
        <x:v>233.11</x:v>
      </x:c>
      <x:c r="M600" s="31" t="str">
        <x:v>网站结构化接口</x:v>
      </x:c>
      <x:c r="N600" s="36" t="d">
        <x:v>2026-10-28T14:16:22.777Z</x:v>
      </x:c>
    </x:row>
    <x:row r="601">
      <x:c r="A601" s="36" t="d">
        <x:v>2026-08-23T00:00:00.000Z</x:v>
      </x:c>
      <x:c r="B601" s="48" t="n">
        <x:v>412.41</x:v>
      </x:c>
      <x:c r="C601" s="48" t="n">
        <x:v>489.7</x:v>
      </x:c>
      <x:c r="D601" s="48" t="n">
        <x:v>429.09</x:v>
      </x:c>
      <x:c r="E601" s="48" t="n">
        <x:v>507.14</x:v>
      </x:c>
      <x:c r="F601" s="48" t="n">
        <x:v>309.07</x:v>
      </x:c>
      <x:c r="G601" s="48" t="n">
        <x:v>364.48</x:v>
      </x:c>
      <x:c r="H601" s="49" t="n">
        <x:v>2478095.76</x:v>
      </x:c>
      <x:c r="I601" s="49" t="n">
        <x:v>2600244.29</x:v>
      </x:c>
      <x:c r="J601" s="48" t="n">
        <x:f>IF(COUNT(B601:C601)&lt;2,"",B601-C601)</x:f>
        <x:v>-77.28999999999996</x:v>
      </x:c>
      <x:c r="K601" s="48" t="n">
        <x:f>IF(COUNT(D601,F601)&lt;2,"",D601-F601)</x:f>
        <x:v>120.01999999999998</x:v>
      </x:c>
      <x:c r="L601" s="48" t="n">
        <x:f>IF(COUNT(E601,G601)&lt;2,"",E601-G601)</x:f>
        <x:v>142.65999999999997</x:v>
      </x:c>
      <x:c r="M601" s="31" t="str">
        <x:v>网站结构化接口</x:v>
      </x:c>
      <x:c r="N601" s="36" t="d">
        <x:v>2026-10-28T14:16:22.777Z</x:v>
      </x:c>
    </x:row>
    <x:row r="602">
      <x:c r="A602" s="36" t="d">
        <x:v>2026-08-24T00:00:00.000Z</x:v>
      </x:c>
      <x:c r="B602" s="48" t="n">
        <x:v>299.64</x:v>
      </x:c>
      <x:c r="C602" s="48" t="n">
        <x:v>388.07</x:v>
      </x:c>
      <x:c r="D602" s="48" t="n">
        <x:v>331.91</x:v>
      </x:c>
      <x:c r="E602" s="48" t="n">
        <x:v>419.54</x:v>
      </x:c>
      <x:c r="F602" s="48" t="n">
        <x:v>178.91</x:v>
      </x:c>
      <x:c r="G602" s="48" t="n">
        <x:v>250.52</x:v>
      </x:c>
      <x:c r="H602" s="49" t="n">
        <x:v>2457198.12</x:v>
      </x:c>
      <x:c r="I602" s="49" t="n">
        <x:v>2551335.18</x:v>
      </x:c>
      <x:c r="J602" s="48" t="n">
        <x:f>IF(COUNT(B602:C602)&lt;2,"",B602-C602)</x:f>
        <x:v>-88.43</x:v>
      </x:c>
      <x:c r="K602" s="48" t="n">
        <x:f>IF(COUNT(D602,F602)&lt;2,"",D602-F602)</x:f>
        <x:v>153.00000000000003</x:v>
      </x:c>
      <x:c r="L602" s="48" t="n">
        <x:f>IF(COUNT(E602,G602)&lt;2,"",E602-G602)</x:f>
        <x:v>169.02</x:v>
      </x:c>
      <x:c r="M602" s="31" t="str">
        <x:v>网站结构化接口</x:v>
      </x:c>
      <x:c r="N602" s="36" t="d">
        <x:v>2026-10-28T14:16:22.777Z</x:v>
      </x:c>
    </x:row>
    <x:row r="603">
      <x:c r="A603" s="36" t="d">
        <x:v>2026-08-25T00:00:00.000Z</x:v>
      </x:c>
      <x:c r="B603" s="48" t="n">
        <x:v>299.71</x:v>
      </x:c>
      <x:c r="C603" s="48" t="n">
        <x:v>283.58</x:v>
      </x:c>
      <x:c r="D603" s="48" t="n">
        <x:v>326.41</x:v>
      </x:c>
      <x:c r="E603" s="48" t="n">
        <x:v>315.33</x:v>
      </x:c>
      <x:c r="F603" s="48" t="n">
        <x:v>218.2</x:v>
      </x:c>
      <x:c r="G603" s="48" t="n">
        <x:v>193.17</x:v>
      </x:c>
      <x:c r="H603" s="49" t="n">
        <x:v>2610328.82</x:v>
      </x:c>
      <x:c r="I603" s="49" t="n">
        <x:v>2544299.85</x:v>
      </x:c>
      <x:c r="J603" s="48" t="n">
        <x:f>IF(COUNT(B603:C603)&lt;2,"",B603-C603)</x:f>
        <x:v>16.129999999999995</x:v>
      </x:c>
      <x:c r="K603" s="48" t="n">
        <x:f>IF(COUNT(D603,F603)&lt;2,"",D603-F603)</x:f>
        <x:v>108.21000000000004</x:v>
      </x:c>
      <x:c r="L603" s="48" t="n">
        <x:f>IF(COUNT(E603,G603)&lt;2,"",E603-G603)</x:f>
        <x:v>122.16</x:v>
      </x:c>
      <x:c r="M603" s="31" t="str">
        <x:v>网站结构化接口</x:v>
      </x:c>
      <x:c r="N603" s="36" t="d">
        <x:v>2026-10-28T14:16:22.777Z</x:v>
      </x:c>
    </x:row>
    <x:row r="604">
      <x:c r="A604" s="36" t="d">
        <x:v>2026-08-26T00:00:00.000Z</x:v>
      </x:c>
      <x:c r="B604" s="48" t="n">
        <x:v>408.85</x:v>
      </x:c>
      <x:c r="C604" s="48" t="n">
        <x:v>535.34</x:v>
      </x:c>
      <x:c r="D604" s="48" t="n">
        <x:v>424.35</x:v>
      </x:c>
      <x:c r="E604" s="48" t="n">
        <x:v>551.74</x:v>
      </x:c>
      <x:c r="F604" s="48" t="n">
        <x:v>336.06</x:v>
      </x:c>
      <x:c r="G604" s="48" t="n">
        <x:v>419.29</x:v>
      </x:c>
      <x:c r="H604" s="49" t="n">
        <x:v>2714597.4</x:v>
      </x:c>
      <x:c r="I604" s="49" t="n">
        <x:v>2774558.94</x:v>
      </x:c>
      <x:c r="J604" s="48" t="n">
        <x:f>IF(COUNT(B604:C604)&lt;2,"",B604-C604)</x:f>
        <x:v>-126.49000000000001</x:v>
      </x:c>
      <x:c r="K604" s="48" t="n">
        <x:f>IF(COUNT(D604,F604)&lt;2,"",D604-F604)</x:f>
        <x:v>88.29000000000002</x:v>
      </x:c>
      <x:c r="L604" s="48" t="n">
        <x:f>IF(COUNT(E604,G604)&lt;2,"",E604-G604)</x:f>
        <x:v>132.45</x:v>
      </x:c>
      <x:c r="M604" s="31" t="str">
        <x:v>网站结构化接口</x:v>
      </x:c>
      <x:c r="N604" s="36" t="d">
        <x:v>2026-10-28T14:16:22.777Z</x:v>
      </x:c>
    </x:row>
    <x:row r="605">
      <x:c r="A605" s="36" t="d">
        <x:v>2026-08-27T00:00:00.000Z</x:v>
      </x:c>
      <x:c r="B605" s="48" t="n">
        <x:v>414.23</x:v>
      </x:c>
      <x:c r="C605" s="48" t="n">
        <x:v>437.34</x:v>
      </x:c>
      <x:c r="D605" s="48" t="n">
        <x:v>415.2</x:v>
      </x:c>
      <x:c r="E605" s="48" t="n">
        <x:v>435.87</x:v>
      </x:c>
      <x:c r="F605" s="48" t="n">
        <x:v>406.39</x:v>
      </x:c>
      <x:c r="G605" s="48" t="n">
        <x:v>438.38</x:v>
      </x:c>
      <x:c r="H605" s="49" t="n">
        <x:v>2880473.18</x:v>
      </x:c>
      <x:c r="I605" s="49" t="n">
        <x:v>2886656.45</x:v>
      </x:c>
      <x:c r="J605" s="48" t="n">
        <x:f>IF(COUNT(B605:C605)&lt;2,"",B605-C605)</x:f>
        <x:v>-23.109999999999957</x:v>
      </x:c>
      <x:c r="K605" s="48" t="n">
        <x:f>IF(COUNT(D605,F605)&lt;2,"",D605-F605)</x:f>
        <x:v>8.810000000000002</x:v>
      </x:c>
      <x:c r="L605" s="48" t="n">
        <x:f>IF(COUNT(E605,G605)&lt;2,"",E605-G605)</x:f>
        <x:v>-2.509999999999991</x:v>
      </x:c>
      <x:c r="M605" s="31" t="str">
        <x:v>网站结构化接口</x:v>
      </x:c>
      <x:c r="N605" s="36" t="d">
        <x:v>2026-10-28T14:16:22.777Z</x:v>
      </x:c>
    </x:row>
    <x:row r="606">
      <x:c r="A606" s="36" t="d">
        <x:v>2026-08-28T00:00:00.000Z</x:v>
      </x:c>
      <x:c r="B606" s="48" t="n">
        <x:v>472.75</x:v>
      </x:c>
      <x:c r="C606" s="48" t="n">
        <x:v>331.83</x:v>
      </x:c>
      <x:c r="D606" s="48" t="n">
        <x:v>462.1</x:v>
      </x:c>
      <x:c r="E606" s="48" t="n">
        <x:v>329.57</x:v>
      </x:c>
      <x:c r="F606" s="48" t="n">
        <x:v>527.34</x:v>
      </x:c>
      <x:c r="G606" s="48" t="n">
        <x:v>330.76</x:v>
      </x:c>
      <x:c r="H606" s="49" t="n">
        <x:v>2796021.05</x:v>
      </x:c>
      <x:c r="I606" s="49" t="n">
        <x:v>2496559.75</x:v>
      </x:c>
      <x:c r="J606" s="48" t="n">
        <x:f>IF(COUNT(B606:C606)&lt;2,"",B606-C606)</x:f>
        <x:v>140.92000000000002</x:v>
      </x:c>
      <x:c r="K606" s="48" t="n">
        <x:f>IF(COUNT(D606,F606)&lt;2,"",D606-F606)</x:f>
        <x:v>-65.24000000000001</x:v>
      </x:c>
      <x:c r="L606" s="48" t="n">
        <x:f>IF(COUNT(E606,G606)&lt;2,"",E606-G606)</x:f>
        <x:v>-1.1899999999999977</x:v>
      </x:c>
      <x:c r="M606" s="31" t="str">
        <x:v>网站结构化接口</x:v>
      </x:c>
      <x:c r="N606" s="36" t="d">
        <x:v>2026-10-28T14:16:22.777Z</x:v>
      </x:c>
    </x:row>
    <x:row r="607">
      <x:c r="A607" s="36" t="d">
        <x:v>2026-08-29T00:00:00.000Z</x:v>
      </x:c>
      <x:c r="B607" s="48" t="n">
        <x:v>172.48</x:v>
      </x:c>
      <x:c r="C607" s="48" t="n">
        <x:v>188.04</x:v>
      </x:c>
      <x:c r="D607" s="48" t="n">
        <x:v>199.49</x:v>
      </x:c>
      <x:c r="E607" s="48" t="n">
        <x:v>207.32</x:v>
      </x:c>
      <x:c r="F607" s="48" t="n">
        <x:v>80.24</x:v>
      </x:c>
      <x:c r="G607" s="48" t="n">
        <x:v>114.2</x:v>
      </x:c>
      <x:c r="H607" s="49" t="n">
        <x:v>2138169.04</x:v>
      </x:c>
      <x:c r="I607" s="49" t="n">
        <x:v>2160900.95</x:v>
      </x:c>
      <x:c r="J607" s="48" t="n">
        <x:f>IF(COUNT(B607:C607)&lt;2,"",B607-C607)</x:f>
        <x:v>-15.560000000000002</x:v>
      </x:c>
      <x:c r="K607" s="48" t="n">
        <x:f>IF(COUNT(D607,F607)&lt;2,"",D607-F607)</x:f>
        <x:v>119.25000000000001</x:v>
      </x:c>
      <x:c r="L607" s="48" t="n">
        <x:f>IF(COUNT(E607,G607)&lt;2,"",E607-G607)</x:f>
        <x:v>93.11999999999999</x:v>
      </x:c>
      <x:c r="M607" s="31" t="str">
        <x:v>网站结构化接口</x:v>
      </x:c>
      <x:c r="N607" s="36" t="d">
        <x:v>2026-10-28T14:16:22.777Z</x:v>
      </x:c>
    </x:row>
    <x:row r="608">
      <x:c r="A608" s="36" t="d">
        <x:v>2026-08-30T00:00:00.000Z</x:v>
      </x:c>
      <x:c r="B608" s="48" t="n">
        <x:v>263.65</x:v>
      </x:c>
      <x:c r="C608" s="48" t="n">
        <x:v>252.58</x:v>
      </x:c>
      <x:c r="D608" s="48" t="n">
        <x:v>310.05</x:v>
      </x:c>
      <x:c r="E608" s="48" t="n">
        <x:v>297.22</x:v>
      </x:c>
      <x:c r="F608" s="48" t="n">
        <x:v>70.36</x:v>
      </x:c>
      <x:c r="G608" s="48" t="n">
        <x:v>74.35</x:v>
      </x:c>
      <x:c r="H608" s="49" t="n">
        <x:v>2148865.26</x:v>
      </x:c>
      <x:c r="I608" s="49" t="n">
        <x:v>2154616.58</x:v>
      </x:c>
      <x:c r="J608" s="48" t="n">
        <x:f>IF(COUNT(B608:C608)&lt;2,"",B608-C608)</x:f>
        <x:v>11.069999999999965</x:v>
      </x:c>
      <x:c r="K608" s="48" t="n">
        <x:f>IF(COUNT(D608,F608)&lt;2,"",D608-F608)</x:f>
        <x:v>239.69</x:v>
      </x:c>
      <x:c r="L608" s="48" t="n">
        <x:f>IF(COUNT(E608,G608)&lt;2,"",E608-G608)</x:f>
        <x:v>222.87000000000003</x:v>
      </x:c>
      <x:c r="M608" s="31" t="str">
        <x:v>网站结构化接口</x:v>
      </x:c>
      <x:c r="N608" s="36" t="d">
        <x:v>2026-10-28T14:16:22.777Z</x:v>
      </x:c>
    </x:row>
    <x:row r="609">
      <x:c r="A609" s="36" t="d">
        <x:v>2026-08-31T00:00:00.000Z</x:v>
      </x:c>
      <x:c r="B609" s="48" t="n">
        <x:v>236.93</x:v>
      </x:c>
      <x:c r="C609" s="48" t="n">
        <x:v>199.42</x:v>
      </x:c>
      <x:c r="D609" s="48" t="n">
        <x:v>278.63</x:v>
      </x:c>
      <x:c r="E609" s="48" t="n">
        <x:v>236.95</x:v>
      </x:c>
      <x:c r="F609" s="48" t="n">
        <x:v>82.94</x:v>
      </x:c>
      <x:c r="G609" s="48" t="n">
        <x:v>74.1</x:v>
      </x:c>
      <x:c r="H609" s="49" t="n">
        <x:v>2129993.68</x:v>
      </x:c>
      <x:c r="I609" s="49" t="n">
        <x:v>2077173.26</x:v>
      </x:c>
      <x:c r="J609" s="48" t="n">
        <x:f>IF(COUNT(B609:C609)&lt;2,"",B609-C609)</x:f>
        <x:v>37.51000000000002</x:v>
      </x:c>
      <x:c r="K609" s="48" t="n">
        <x:f>IF(COUNT(D609,F609)&lt;2,"",D609-F609)</x:f>
        <x:v>195.69</x:v>
      </x:c>
      <x:c r="L609" s="48" t="n">
        <x:f>IF(COUNT(E609,G609)&lt;2,"",E609-G609)</x:f>
        <x:v>162.85</x:v>
      </x:c>
      <x:c r="M609" s="31" t="str">
        <x:v>网站结构化接口</x:v>
      </x:c>
      <x:c r="N609" s="36" t="d">
        <x:v>2026-10-28T14:16:22.777Z</x:v>
      </x:c>
    </x:row>
    <x:row r="610">
      <x:c r="A610" s="36" t="d">
        <x:v>2026-09-01T00:00:00.000Z</x:v>
      </x:c>
      <x:c r="B610" s="48" t="n">
        <x:v>246.3</x:v>
      </x:c>
      <x:c r="C610" s="48" t="n">
        <x:v>220.47</x:v>
      </x:c>
      <x:c r="D610" s="48" t="n">
        <x:v>297.45</x:v>
      </x:c>
      <x:c r="E610" s="48" t="n">
        <x:v>268.11</x:v>
      </x:c>
      <x:c r="F610" s="48" t="n">
        <x:v>128.17</x:v>
      </x:c>
      <x:c r="G610" s="48" t="n">
        <x:v>115.73</x:v>
      </x:c>
      <x:c r="H610" s="49" t="n">
        <x:v>2080974.4</x:v>
      </x:c>
      <x:c r="I610" s="49" t="n">
        <x:v>2002859.94</x:v>
      </x:c>
      <x:c r="J610" s="48" t="n">
        <x:f>IF(COUNT(B610:C610)&lt;2,"",B610-C610)</x:f>
        <x:v>25.830000000000013</x:v>
      </x:c>
      <x:c r="K610" s="48" t="n">
        <x:f>IF(COUNT(D610,F610)&lt;2,"",D610-F610)</x:f>
        <x:v>169.28</x:v>
      </x:c>
      <x:c r="L610" s="48" t="n">
        <x:f>IF(COUNT(E610,G610)&lt;2,"",E610-G610)</x:f>
        <x:v>152.38</x:v>
      </x:c>
      <x:c r="M610" s="31" t="str">
        <x:v>网站结构化接口</x:v>
      </x:c>
      <x:c r="N610" s="36" t="d">
        <x:v>2026-10-28T14:16:22.777Z</x:v>
      </x:c>
    </x:row>
    <x:row r="611">
      <x:c r="A611" s="36" t="d">
        <x:v>2026-09-02T00:00:00.000Z</x:v>
      </x:c>
      <x:c r="B611" s="48" t="n">
        <x:v>210.62</x:v>
      </x:c>
      <x:c r="C611" s="48" t="n">
        <x:v>222.19</x:v>
      </x:c>
      <x:c r="D611" s="48" t="n">
        <x:v>254.65</x:v>
      </x:c>
      <x:c r="E611" s="48" t="n">
        <x:v>262.54</x:v>
      </x:c>
      <x:c r="F611" s="48" t="n">
        <x:v>138.78</x:v>
      </x:c>
      <x:c r="G611" s="48" t="n">
        <x:v>162.94</x:v>
      </x:c>
      <x:c r="H611" s="49" t="n">
        <x:v>1973001.6</x:v>
      </x:c>
      <x:c r="I611" s="49" t="n">
        <x:v>1994925.91</x:v>
      </x:c>
      <x:c r="J611" s="48" t="n">
        <x:f>IF(COUNT(B611:C611)&lt;2,"",B611-C611)</x:f>
        <x:v>-11.569999999999993</x:v>
      </x:c>
      <x:c r="K611" s="48" t="n">
        <x:f>IF(COUNT(D611,F611)&lt;2,"",D611-F611)</x:f>
        <x:v>115.87</x:v>
      </x:c>
      <x:c r="L611" s="48" t="n">
        <x:f>IF(COUNT(E611,G611)&lt;2,"",E611-G611)</x:f>
        <x:v>99.60000000000002</x:v>
      </x:c>
      <x:c r="M611" s="31" t="str">
        <x:v>网站结构化接口</x:v>
      </x:c>
      <x:c r="N611" s="36" t="d">
        <x:v>2026-10-28T14:16:22.777Z</x:v>
      </x:c>
    </x:row>
    <x:row r="612">
      <x:c r="A612" s="36" t="d">
        <x:v>2026-09-03T00:00:00.000Z</x:v>
      </x:c>
      <x:c r="B612" s="48" t="n">
        <x:v>208.75</x:v>
      </x:c>
      <x:c r="C612" s="48" t="n">
        <x:v>218.69</x:v>
      </x:c>
      <x:c r="D612" s="48" t="n">
        <x:v>256.97</x:v>
      </x:c>
      <x:c r="E612" s="48" t="n">
        <x:v>252.31</x:v>
      </x:c>
      <x:c r="F612" s="48" t="n">
        <x:v>140.22</x:v>
      </x:c>
      <x:c r="G612" s="48" t="n">
        <x:v>170.75</x:v>
      </x:c>
      <x:c r="H612" s="49" t="n">
        <x:v>1896583.97</x:v>
      </x:c>
      <x:c r="I612" s="49" t="n">
        <x:v>1891148.92</x:v>
      </x:c>
      <x:c r="J612" s="48" t="n">
        <x:f>IF(COUNT(B612:C612)&lt;2,"",B612-C612)</x:f>
        <x:v>-9.939999999999998</x:v>
      </x:c>
      <x:c r="K612" s="48" t="n">
        <x:f>IF(COUNT(D612,F612)&lt;2,"",D612-F612)</x:f>
        <x:v>116.75000000000003</x:v>
      </x:c>
      <x:c r="L612" s="48" t="n">
        <x:f>IF(COUNT(E612,G612)&lt;2,"",E612-G612)</x:f>
        <x:v>81.56</x:v>
      </x:c>
      <x:c r="M612" s="31" t="str">
        <x:v>网站结构化接口</x:v>
      </x:c>
      <x:c r="N612" s="36" t="d">
        <x:v>2026-10-28T14:16:22.777Z</x:v>
      </x:c>
    </x:row>
    <x:row r="613">
      <x:c r="A613" s="36" t="d">
        <x:v>2026-09-04T00:00:00.000Z</x:v>
      </x:c>
      <x:c r="B613" s="48" t="n">
        <x:v>228.92</x:v>
      </x:c>
      <x:c r="C613" s="48" t="n">
        <x:v>346.76</x:v>
      </x:c>
      <x:c r="D613" s="48" t="n">
        <x:v>274.85</x:v>
      </x:c>
      <x:c r="E613" s="48" t="n">
        <x:v>425.56</x:v>
      </x:c>
      <x:c r="F613" s="48" t="n">
        <x:v>150.48</x:v>
      </x:c>
      <x:c r="G613" s="48" t="n">
        <x:v>196.87</x:v>
      </x:c>
      <x:c r="H613" s="49" t="n">
        <x:v>1906658.05</x:v>
      </x:c>
      <x:c r="I613" s="49" t="n">
        <x:v>1967781.95</x:v>
      </x:c>
      <x:c r="J613" s="48" t="n">
        <x:f>IF(COUNT(B613:C613)&lt;2,"",B613-C613)</x:f>
        <x:v>-117.84</x:v>
      </x:c>
      <x:c r="K613" s="48" t="n">
        <x:f>IF(COUNT(D613,F613)&lt;2,"",D613-F613)</x:f>
        <x:v>124.37000000000003</x:v>
      </x:c>
      <x:c r="L613" s="48" t="n">
        <x:f>IF(COUNT(E613,G613)&lt;2,"",E613-G613)</x:f>
        <x:v>228.69</x:v>
      </x:c>
      <x:c r="M613" s="31" t="str">
        <x:v>网站结构化接口</x:v>
      </x:c>
      <x:c r="N613" s="36" t="d">
        <x:v>2026-10-28T14:16:22.777Z</x:v>
      </x:c>
    </x:row>
    <x:row r="614">
      <x:c r="A614" s="36" t="d">
        <x:v>2026-09-05T00:00:00.000Z</x:v>
      </x:c>
      <x:c r="B614" s="48" t="n">
        <x:v>229.57</x:v>
      </x:c>
      <x:c r="C614" s="48" t="n">
        <x:v>323.18</x:v>
      </x:c>
      <x:c r="D614" s="48" t="n">
        <x:v>272.82</x:v>
      </x:c>
      <x:c r="E614" s="48" t="n">
        <x:v>358.71</x:v>
      </x:c>
      <x:c r="F614" s="48" t="n">
        <x:v>156.5</x:v>
      </x:c>
      <x:c r="G614" s="48" t="n">
        <x:v>250.53</x:v>
      </x:c>
      <x:c r="H614" s="49" t="n">
        <x:v>1801951.84</x:v>
      </x:c>
      <x:c r="I614" s="49" t="n">
        <x:v>2040992.05</x:v>
      </x:c>
      <x:c r="J614" s="48" t="n">
        <x:f>IF(COUNT(B614:C614)&lt;2,"",B614-C614)</x:f>
        <x:v>-93.61000000000001</x:v>
      </x:c>
      <x:c r="K614" s="48" t="n">
        <x:f>IF(COUNT(D614,F614)&lt;2,"",D614-F614)</x:f>
        <x:v>116.32</x:v>
      </x:c>
      <x:c r="L614" s="48" t="n">
        <x:f>IF(COUNT(E614,G614)&lt;2,"",E614-G614)</x:f>
        <x:v>108.17999999999998</x:v>
      </x:c>
      <x:c r="M614" s="31" t="str">
        <x:v>网站结构化接口</x:v>
      </x:c>
      <x:c r="N614" s="36" t="d">
        <x:v>2026-10-28T14:16:22.777Z</x:v>
      </x:c>
    </x:row>
    <x:row r="615">
      <x:c r="A615" s="36" t="d">
        <x:v>2026-09-06T00:00:00.000Z</x:v>
      </x:c>
      <x:c r="B615" s="48" t="n">
        <x:v>225.18</x:v>
      </x:c>
      <x:c r="C615" s="48" t="n">
        <x:v>407.46</x:v>
      </x:c>
      <x:c r="D615" s="48" t="n">
        <x:v>264.99</x:v>
      </x:c>
      <x:c r="E615" s="48" t="n">
        <x:v>466.21</x:v>
      </x:c>
      <x:c r="F615" s="48" t="n">
        <x:v>161.77</x:v>
      </x:c>
      <x:c r="G615" s="48" t="n">
        <x:v>286.93</x:v>
      </x:c>
      <x:c r="H615" s="49" t="n">
        <x:v>1810757.18</x:v>
      </x:c>
      <x:c r="I615" s="49" t="n">
        <x:v>2033314.98</x:v>
      </x:c>
      <x:c r="J615" s="48" t="n">
        <x:f>IF(COUNT(B615:C615)&lt;2,"",B615-C615)</x:f>
        <x:v>-182.27999999999997</x:v>
      </x:c>
      <x:c r="K615" s="48" t="n">
        <x:f>IF(COUNT(D615,F615)&lt;2,"",D615-F615)</x:f>
        <x:v>103.22</x:v>
      </x:c>
      <x:c r="L615" s="48" t="n">
        <x:f>IF(COUNT(E615,G615)&lt;2,"",E615-G615)</x:f>
        <x:v>179.27999999999997</x:v>
      </x:c>
      <x:c r="M615" s="31" t="str">
        <x:v>网站结构化接口</x:v>
      </x:c>
      <x:c r="N615" s="36" t="d">
        <x:v>2026-10-28T14:16:22.777Z</x:v>
      </x:c>
    </x:row>
    <x:row r="616">
      <x:c r="A616" s="36" t="d">
        <x:v>2026-09-07T00:00:00.000Z</x:v>
      </x:c>
      <x:c r="B616" s="48"/>
      <x:c r="C616" s="48"/>
      <x:c r="D616" s="48" t="n">
        <x:v>351.31</x:v>
      </x:c>
      <x:c r="E616" s="48" t="n">
        <x:v>545.52</x:v>
      </x:c>
      <x:c r="F616" s="48" t="n">
        <x:v>336.65</x:v>
      </x:c>
      <x:c r="G616" s="48" t="n">
        <x:v>568.53</x:v>
      </x:c>
      <x:c r="H616" s="49" t="n">
        <x:v>0</x:v>
      </x:c>
      <x:c r="I616" s="49" t="n">
        <x:v>0</x:v>
      </x:c>
      <x:c r="J616" s="48" t="str">
        <x:f>IF(COUNT(B616:C616)&lt;2,"",B616-C616)</x:f>
      </x:c>
      <x:c r="K616" s="48" t="n">
        <x:f>IF(COUNT(D616,F616)&lt;2,"",D616-F616)</x:f>
        <x:v>14.660000000000025</x:v>
      </x:c>
      <x:c r="L616" s="48" t="n">
        <x:f>IF(COUNT(E616,G616)&lt;2,"",E616-G616)</x:f>
        <x:v>-23.00999999999999</x:v>
      </x:c>
      <x:c r="M616" s="31" t="str">
        <x:v>网站结构化接口</x:v>
      </x:c>
      <x:c r="N616" s="36" t="d">
        <x:v>2026-10-28T14:16:22.777Z</x:v>
      </x:c>
    </x:row>
    <x:row r="617">
      <x:c r="A617" s="36" t="d">
        <x:v>2026-09-08T00:00:00.000Z</x:v>
      </x:c>
      <x:c r="B617" s="48"/>
      <x:c r="C617" s="48"/>
      <x:c r="D617" s="48" t="n">
        <x:v>414.36</x:v>
      </x:c>
      <x:c r="E617" s="48" t="n">
        <x:v>424.72</x:v>
      </x:c>
      <x:c r="F617" s="48" t="n">
        <x:v>398.35</x:v>
      </x:c>
      <x:c r="G617" s="48" t="n">
        <x:v>415.82</x:v>
      </x:c>
      <x:c r="H617" s="49" t="n">
        <x:v>0</x:v>
      </x:c>
      <x:c r="I617" s="49" t="n">
        <x:v>0</x:v>
      </x:c>
      <x:c r="J617" s="48" t="str">
        <x:f>IF(COUNT(B617:C617)&lt;2,"",B617-C617)</x:f>
      </x:c>
      <x:c r="K617" s="48" t="n">
        <x:f>IF(COUNT(D617,F617)&lt;2,"",D617-F617)</x:f>
        <x:v>16.00999999999999</x:v>
      </x:c>
      <x:c r="L617" s="48" t="n">
        <x:f>IF(COUNT(E617,G617)&lt;2,"",E617-G617)</x:f>
        <x:v>8.900000000000034</x:v>
      </x:c>
      <x:c r="M617" s="31" t="str">
        <x:v>网站结构化接口</x:v>
      </x:c>
      <x:c r="N617" s="36" t="d">
        <x:v>2026-10-28T14:16:22.777Z</x:v>
      </x:c>
    </x:row>
    <x:row r="618">
      <x:c r="A618" s="36" t="d">
        <x:v>2026-09-09T00:00:00.000Z</x:v>
      </x:c>
      <x:c r="B618" s="48"/>
      <x:c r="C618" s="48"/>
      <x:c r="D618" s="48" t="n">
        <x:v>348.41</x:v>
      </x:c>
      <x:c r="E618" s="48" t="n">
        <x:v>364.67</x:v>
      </x:c>
      <x:c r="F618" s="48" t="n">
        <x:v>344.6</x:v>
      </x:c>
      <x:c r="G618" s="48" t="n">
        <x:v>354.97</x:v>
      </x:c>
      <x:c r="H618" s="49" t="n">
        <x:v>0</x:v>
      </x:c>
      <x:c r="I618" s="49" t="n">
        <x:v>0</x:v>
      </x:c>
      <x:c r="J618" s="48" t="str">
        <x:f>IF(COUNT(B618:C618)&lt;2,"",B618-C618)</x:f>
      </x:c>
      <x:c r="K618" s="48" t="n">
        <x:f>IF(COUNT(D618,F618)&lt;2,"",D618-F618)</x:f>
        <x:v>3.8100000000000023</x:v>
      </x:c>
      <x:c r="L618" s="48" t="n">
        <x:f>IF(COUNT(E618,G618)&lt;2,"",E618-G618)</x:f>
        <x:v>9.699999999999989</x:v>
      </x:c>
      <x:c r="M618" s="31" t="str">
        <x:v>网站结构化接口</x:v>
      </x:c>
      <x:c r="N618" s="36" t="d">
        <x:v>2026-10-28T14:16:22.777Z</x:v>
      </x:c>
    </x:row>
    <x:row r="619">
      <x:c r="A619" s="36" t="d">
        <x:v>2026-09-10T00:00:00.000Z</x:v>
      </x:c>
      <x:c r="B619" s="48"/>
      <x:c r="C619" s="48"/>
      <x:c r="D619" s="48" t="n">
        <x:v>329.84</x:v>
      </x:c>
      <x:c r="E619" s="48" t="n">
        <x:v>306.98</x:v>
      </x:c>
      <x:c r="F619" s="48" t="n">
        <x:v>209.08</x:v>
      </x:c>
      <x:c r="G619" s="48" t="n">
        <x:v>125.88</x:v>
      </x:c>
      <x:c r="H619" s="49" t="n">
        <x:v>0</x:v>
      </x:c>
      <x:c r="I619" s="49" t="n">
        <x:v>0</x:v>
      </x:c>
      <x:c r="J619" s="48" t="str">
        <x:f>IF(COUNT(B619:C619)&lt;2,"",B619-C619)</x:f>
      </x:c>
      <x:c r="K619" s="48" t="n">
        <x:f>IF(COUNT(D619,F619)&lt;2,"",D619-F619)</x:f>
        <x:v>120.75999999999996</x:v>
      </x:c>
      <x:c r="L619" s="48" t="n">
        <x:f>IF(COUNT(E619,G619)&lt;2,"",E619-G619)</x:f>
        <x:v>181.10000000000002</x:v>
      </x:c>
      <x:c r="M619" s="31" t="str">
        <x:v>网站结构化接口</x:v>
      </x:c>
      <x:c r="N619" s="36" t="d">
        <x:v>2026-10-28T14:16:22.777Z</x:v>
      </x:c>
    </x:row>
    <x:row r="620">
      <x:c r="A620" s="36" t="d">
        <x:v>2026-09-11T00:00:00.000Z</x:v>
      </x:c>
      <x:c r="B620" s="48"/>
      <x:c r="C620" s="48"/>
      <x:c r="D620" s="48" t="n">
        <x:v>287.56</x:v>
      </x:c>
      <x:c r="E620" s="48" t="n">
        <x:v>298.61</x:v>
      </x:c>
      <x:c r="F620" s="48" t="n">
        <x:v>137.58</x:v>
      </x:c>
      <x:c r="G620" s="48" t="n">
        <x:v>167.01</x:v>
      </x:c>
      <x:c r="H620" s="49" t="n">
        <x:v>0</x:v>
      </x:c>
      <x:c r="I620" s="49" t="n">
        <x:v>0</x:v>
      </x:c>
      <x:c r="J620" s="48" t="str">
        <x:f>IF(COUNT(B620:C620)&lt;2,"",B620-C620)</x:f>
      </x:c>
      <x:c r="K620" s="48" t="n">
        <x:f>IF(COUNT(D620,F620)&lt;2,"",D620-F620)</x:f>
        <x:v>149.98</x:v>
      </x:c>
      <x:c r="L620" s="48" t="n">
        <x:f>IF(COUNT(E620,G620)&lt;2,"",E620-G620)</x:f>
        <x:v>131.60000000000002</x:v>
      </x:c>
      <x:c r="M620" s="31" t="str">
        <x:v>网站结构化接口</x:v>
      </x:c>
      <x:c r="N620" s="36" t="d">
        <x:v>2026-10-28T14:16:22.777Z</x:v>
      </x:c>
    </x:row>
    <x:row r="621">
      <x:c r="A621" s="36" t="d">
        <x:v>2026-09-12T00:00:00.000Z</x:v>
      </x:c>
      <x:c r="B621" s="48"/>
      <x:c r="C621" s="48"/>
      <x:c r="D621" s="48" t="n">
        <x:v>301.13</x:v>
      </x:c>
      <x:c r="E621" s="48" t="n">
        <x:v>318.96</x:v>
      </x:c>
      <x:c r="F621" s="48" t="n">
        <x:v>137.3</x:v>
      </x:c>
      <x:c r="G621" s="48" t="n">
        <x:v>141.01</x:v>
      </x:c>
      <x:c r="H621" s="49" t="n">
        <x:v>0</x:v>
      </x:c>
      <x:c r="I621" s="49" t="n">
        <x:v>0</x:v>
      </x:c>
      <x:c r="J621" s="48" t="str">
        <x:f>IF(COUNT(B621:C621)&lt;2,"",B621-C621)</x:f>
      </x:c>
      <x:c r="K621" s="48" t="n">
        <x:f>IF(COUNT(D621,F621)&lt;2,"",D621-F621)</x:f>
        <x:v>163.82999999999998</x:v>
      </x:c>
      <x:c r="L621" s="48" t="n">
        <x:f>IF(COUNT(E621,G621)&lt;2,"",E621-G621)</x:f>
        <x:v>177.95</x:v>
      </x:c>
      <x:c r="M621" s="31" t="str">
        <x:v>网站结构化接口</x:v>
      </x:c>
      <x:c r="N621" s="36" t="d">
        <x:v>2026-10-28T14:16:22.777Z</x:v>
      </x:c>
    </x:row>
    <x:row r="622">
      <x:c r="A622" s="36" t="d">
        <x:v>2026-09-13T00:00:00.000Z</x:v>
      </x:c>
      <x:c r="B622" s="48"/>
      <x:c r="C622" s="48"/>
      <x:c r="D622" s="48" t="n">
        <x:v>326.14</x:v>
      </x:c>
      <x:c r="E622" s="48" t="n">
        <x:v>430.01</x:v>
      </x:c>
      <x:c r="F622" s="48" t="n">
        <x:v>107.74</x:v>
      </x:c>
      <x:c r="G622" s="48" t="n">
        <x:v>124.17</x:v>
      </x:c>
      <x:c r="H622" s="49" t="n">
        <x:v>0</x:v>
      </x:c>
      <x:c r="I622" s="49" t="n">
        <x:v>0</x:v>
      </x:c>
      <x:c r="J622" s="48" t="str">
        <x:f>IF(COUNT(B622:C622)&lt;2,"",B622-C622)</x:f>
      </x:c>
      <x:c r="K622" s="48" t="n">
        <x:f>IF(COUNT(D622,F622)&lt;2,"",D622-F622)</x:f>
        <x:v>218.39999999999998</x:v>
      </x:c>
      <x:c r="L622" s="48" t="n">
        <x:f>IF(COUNT(E622,G622)&lt;2,"",E622-G622)</x:f>
        <x:v>305.84</x:v>
      </x:c>
      <x:c r="M622" s="31" t="str">
        <x:v>网站结构化接口</x:v>
      </x:c>
      <x:c r="N622" s="36" t="d">
        <x:v>2026-10-28T14:16:22.777Z</x:v>
      </x:c>
    </x:row>
    <x:row r="623">
      <x:c r="A623" s="36" t="d">
        <x:v>2026-09-14T00:00:00.000Z</x:v>
      </x:c>
      <x:c r="B623" s="48"/>
      <x:c r="C623" s="48"/>
      <x:c r="D623" s="48" t="n">
        <x:v>282.26</x:v>
      </x:c>
      <x:c r="E623" s="48" t="n">
        <x:v>319.74</x:v>
      </x:c>
      <x:c r="F623" s="48" t="n">
        <x:v>132.8</x:v>
      </x:c>
      <x:c r="G623" s="48" t="n">
        <x:v>154.42</x:v>
      </x:c>
      <x:c r="H623" s="49" t="n">
        <x:v>0</x:v>
      </x:c>
      <x:c r="I623" s="49" t="n">
        <x:v>0</x:v>
      </x:c>
      <x:c r="J623" s="48" t="str">
        <x:f>IF(COUNT(B623:C623)&lt;2,"",B623-C623)</x:f>
      </x:c>
      <x:c r="K623" s="48" t="n">
        <x:f>IF(COUNT(D623,F623)&lt;2,"",D623-F623)</x:f>
        <x:v>149.45999999999998</x:v>
      </x:c>
      <x:c r="L623" s="48" t="n">
        <x:f>IF(COUNT(E623,G623)&lt;2,"",E623-G623)</x:f>
        <x:v>165.32000000000002</x:v>
      </x:c>
      <x:c r="M623" s="31" t="str">
        <x:v>网站结构化接口</x:v>
      </x:c>
      <x:c r="N623" s="36" t="d">
        <x:v>2026-10-28T14:16:22.777Z</x:v>
      </x:c>
    </x:row>
    <x:row r="624">
      <x:c r="A624" s="36" t="d">
        <x:v>2026-09-15T00:00:00.000Z</x:v>
      </x:c>
      <x:c r="B624" s="48" t="n">
        <x:v>231.59</x:v>
      </x:c>
      <x:c r="C624" s="48" t="n">
        <x:v>237.57</x:v>
      </x:c>
      <x:c r="D624" s="48" t="n">
        <x:v>273.09</x:v>
      </x:c>
      <x:c r="E624" s="48" t="n">
        <x:v>280.32</x:v>
      </x:c>
      <x:c r="F624" s="48" t="n">
        <x:v>148.24</x:v>
      </x:c>
      <x:c r="G624" s="48" t="n">
        <x:v>163.39</x:v>
      </x:c>
      <x:c r="H624" s="49" t="n">
        <x:v>1594226.11</x:v>
      </x:c>
      <x:c r="I624" s="49" t="n">
        <x:v>1656862.36</x:v>
      </x:c>
      <x:c r="J624" s="48" t="n">
        <x:f>IF(COUNT(B624:C624)&lt;2,"",B624-C624)</x:f>
        <x:v>-5.97999999999999</x:v>
      </x:c>
      <x:c r="K624" s="48" t="n">
        <x:f>IF(COUNT(D624,F624)&lt;2,"",D624-F624)</x:f>
        <x:v>124.84999999999997</x:v>
      </x:c>
      <x:c r="L624" s="48" t="n">
        <x:f>IF(COUNT(E624,G624)&lt;2,"",E624-G624)</x:f>
        <x:v>116.93</x:v>
      </x:c>
      <x:c r="M624" s="31" t="str">
        <x:v>网站结构化接口</x:v>
      </x:c>
      <x:c r="N624" s="36" t="d">
        <x:v>2026-10-28T14:16:22.777Z</x:v>
      </x:c>
    </x:row>
    <x:row r="625">
      <x:c r="A625" s="36" t="d">
        <x:v>2026-09-16T00:00:00.000Z</x:v>
      </x:c>
      <x:c r="B625" s="48" t="n">
        <x:v>315.96</x:v>
      </x:c>
      <x:c r="C625" s="48" t="n">
        <x:v>307.03</x:v>
      </x:c>
      <x:c r="D625" s="48" t="n">
        <x:v>340.97</x:v>
      </x:c>
      <x:c r="E625" s="48" t="n">
        <x:v>326.58</x:v>
      </x:c>
      <x:c r="F625" s="48" t="n">
        <x:v>235.95</x:v>
      </x:c>
      <x:c r="G625" s="48" t="n">
        <x:v>253.72</x:v>
      </x:c>
      <x:c r="H625" s="49" t="n">
        <x:v>1672727.61</x:v>
      </x:c>
      <x:c r="I625" s="49" t="n">
        <x:v>1734366.43</x:v>
      </x:c>
      <x:c r="J625" s="48" t="n">
        <x:f>IF(COUNT(B625:C625)&lt;2,"",B625-C625)</x:f>
        <x:v>8.930000000000007</x:v>
      </x:c>
      <x:c r="K625" s="48" t="n">
        <x:f>IF(COUNT(D625,F625)&lt;2,"",D625-F625)</x:f>
        <x:v>105.02000000000004</x:v>
      </x:c>
      <x:c r="L625" s="48" t="n">
        <x:f>IF(COUNT(E625,G625)&lt;2,"",E625-G625)</x:f>
        <x:v>72.85999999999999</x:v>
      </x:c>
      <x:c r="M625" s="31" t="str">
        <x:v>网站结构化接口</x:v>
      </x:c>
      <x:c r="N625" s="36" t="d">
        <x:v>2026-10-28T14:16:22.777Z</x:v>
      </x:c>
    </x:row>
    <x:row r="626">
      <x:c r="A626" s="36" t="d">
        <x:v>2026-09-17T00:00:00.000Z</x:v>
      </x:c>
      <x:c r="B626" s="48" t="n">
        <x:v>240.7</x:v>
      </x:c>
      <x:c r="C626" s="48" t="n">
        <x:v>251.84</x:v>
      </x:c>
      <x:c r="D626" s="48" t="n">
        <x:v>282.11</x:v>
      </x:c>
      <x:c r="E626" s="48" t="n">
        <x:v>281.8</x:v>
      </x:c>
      <x:c r="F626" s="48" t="n">
        <x:v>162.81</x:v>
      </x:c>
      <x:c r="G626" s="48" t="n">
        <x:v>196.26</x:v>
      </x:c>
      <x:c r="H626" s="49" t="n">
        <x:v>1606407.86</x:v>
      </x:c>
      <x:c r="I626" s="49" t="n">
        <x:v>1621695.22</x:v>
      </x:c>
      <x:c r="J626" s="48" t="n">
        <x:f>IF(COUNT(B626:C626)&lt;2,"",B626-C626)</x:f>
        <x:v>-11.140000000000015</x:v>
      </x:c>
      <x:c r="K626" s="48" t="n">
        <x:f>IF(COUNT(D626,F626)&lt;2,"",D626-F626)</x:f>
        <x:v>119.30000000000001</x:v>
      </x:c>
      <x:c r="L626" s="48" t="n">
        <x:f>IF(COUNT(E626,G626)&lt;2,"",E626-G626)</x:f>
        <x:v>85.54000000000002</x:v>
      </x:c>
      <x:c r="M626" s="31" t="str">
        <x:v>网站结构化接口</x:v>
      </x:c>
      <x:c r="N626" s="36" t="d">
        <x:v>2026-10-28T14:16:22.777Z</x:v>
      </x:c>
    </x:row>
    <x:row r="627">
      <x:c r="A627" s="36" t="d">
        <x:v>2026-09-18T00:00:00.000Z</x:v>
      </x:c>
      <x:c r="B627" s="48" t="n">
        <x:v>264.08</x:v>
      </x:c>
      <x:c r="C627" s="48" t="n">
        <x:v>279.34</x:v>
      </x:c>
      <x:c r="D627" s="48" t="n">
        <x:v>280.39</x:v>
      </x:c>
      <x:c r="E627" s="48" t="n">
        <x:v>288.99</x:v>
      </x:c>
      <x:c r="F627" s="48" t="n">
        <x:v>234.25</x:v>
      </x:c>
      <x:c r="G627" s="48" t="n">
        <x:v>257.26</x:v>
      </x:c>
      <x:c r="H627" s="49" t="n">
        <x:v>1689452.3</x:v>
      </x:c>
      <x:c r="I627" s="49" t="n">
        <x:v>1727833.48</x:v>
      </x:c>
      <x:c r="J627" s="48" t="n">
        <x:f>IF(COUNT(B627:C627)&lt;2,"",B627-C627)</x:f>
        <x:v>-15.259999999999991</x:v>
      </x:c>
      <x:c r="K627" s="48" t="n">
        <x:f>IF(COUNT(D627,F627)&lt;2,"",D627-F627)</x:f>
        <x:v>46.139999999999986</x:v>
      </x:c>
      <x:c r="L627" s="48" t="n">
        <x:f>IF(COUNT(E627,G627)&lt;2,"",E627-G627)</x:f>
        <x:v>31.730000000000018</x:v>
      </x:c>
      <x:c r="M627" s="31" t="str">
        <x:v>网站结构化接口</x:v>
      </x:c>
      <x:c r="N627" s="36" t="d">
        <x:v>2026-10-28T14:16:22.777Z</x:v>
      </x:c>
    </x:row>
    <x:row r="628">
      <x:c r="A628" s="36" t="d">
        <x:v>2026-09-19T00:00:00.000Z</x:v>
      </x:c>
      <x:c r="B628" s="48" t="n">
        <x:v>261.76</x:v>
      </x:c>
      <x:c r="C628" s="48" t="n">
        <x:v>348.45</x:v>
      </x:c>
      <x:c r="D628" s="48" t="n">
        <x:v>295.03</x:v>
      </x:c>
      <x:c r="E628" s="48" t="n">
        <x:v>384.86</x:v>
      </x:c>
      <x:c r="F628" s="48" t="n">
        <x:v>165.41</x:v>
      </x:c>
      <x:c r="G628" s="48" t="n">
        <x:v>240.81</x:v>
      </x:c>
      <x:c r="H628" s="49" t="n">
        <x:v>1587925.93</x:v>
      </x:c>
      <x:c r="I628" s="49" t="n">
        <x:v>1690720.38</x:v>
      </x:c>
      <x:c r="J628" s="48" t="n">
        <x:f>IF(COUNT(B628:C628)&lt;2,"",B628-C628)</x:f>
        <x:v>-86.69</x:v>
      </x:c>
      <x:c r="K628" s="48" t="n">
        <x:f>IF(COUNT(D628,F628)&lt;2,"",D628-F628)</x:f>
        <x:v>129.61999999999998</x:v>
      </x:c>
      <x:c r="L628" s="48" t="n">
        <x:f>IF(COUNT(E628,G628)&lt;2,"",E628-G628)</x:f>
        <x:v>144.05</x:v>
      </x:c>
      <x:c r="M628" s="31" t="str">
        <x:v>网站结构化接口</x:v>
      </x:c>
      <x:c r="N628" s="36" t="d">
        <x:v>2026-10-28T14:16:22.777Z</x:v>
      </x:c>
    </x:row>
    <x:row r="629">
      <x:c r="A629" s="36" t="d">
        <x:v>2026-09-20T00:00:00.000Z</x:v>
      </x:c>
      <x:c r="B629" s="48" t="n">
        <x:v>384.54</x:v>
      </x:c>
      <x:c r="C629" s="48" t="n">
        <x:v>376.5</x:v>
      </x:c>
      <x:c r="D629" s="48" t="n">
        <x:v>385.84</x:v>
      </x:c>
      <x:c r="E629" s="48" t="n">
        <x:v>377.12</x:v>
      </x:c>
      <x:c r="F629" s="48" t="n">
        <x:v>372.6</x:v>
      </x:c>
      <x:c r="G629" s="48" t="n">
        <x:v>363.84</x:v>
      </x:c>
      <x:c r="H629" s="49" t="n">
        <x:v>1959843.83</x:v>
      </x:c>
      <x:c r="I629" s="49" t="n">
        <x:v>1886758.63</x:v>
      </x:c>
      <x:c r="J629" s="48" t="n">
        <x:f>IF(COUNT(B629:C629)&lt;2,"",B629-C629)</x:f>
        <x:v>8.04000000000002</x:v>
      </x:c>
      <x:c r="K629" s="48" t="n">
        <x:f>IF(COUNT(D629,F629)&lt;2,"",D629-F629)</x:f>
        <x:v>13.239999999999952</x:v>
      </x:c>
      <x:c r="L629" s="48" t="n">
        <x:f>IF(COUNT(E629,G629)&lt;2,"",E629-G629)</x:f>
        <x:v>13.28000000000003</x:v>
      </x:c>
      <x:c r="M629" s="31" t="str">
        <x:v>网站结构化接口</x:v>
      </x:c>
      <x:c r="N629" s="36" t="d">
        <x:v>2026-10-28T14:16:22.777Z</x:v>
      </x:c>
    </x:row>
    <x:row r="630">
      <x:c r="A630" s="36" t="d">
        <x:v>2026-09-21T00:00:00.000Z</x:v>
      </x:c>
      <x:c r="B630" s="48" t="n">
        <x:v>352.17</x:v>
      </x:c>
      <x:c r="C630" s="48" t="n">
        <x:v>357.1</x:v>
      </x:c>
      <x:c r="D630" s="48" t="n">
        <x:v>400.08</x:v>
      </x:c>
      <x:c r="E630" s="48" t="n">
        <x:v>393.6</x:v>
      </x:c>
      <x:c r="F630" s="48" t="n">
        <x:v>153.08</x:v>
      </x:c>
      <x:c r="G630" s="48" t="n">
        <x:v>208.5</x:v>
      </x:c>
      <x:c r="H630" s="49" t="n">
        <x:v>1817036.34</x:v>
      </x:c>
      <x:c r="I630" s="49" t="n">
        <x:v>1802996.81</x:v>
      </x:c>
      <x:c r="J630" s="48" t="n">
        <x:f>IF(COUNT(B630:C630)&lt;2,"",B630-C630)</x:f>
        <x:v>-4.930000000000007</x:v>
      </x:c>
      <x:c r="K630" s="48" t="n">
        <x:f>IF(COUNT(D630,F630)&lt;2,"",D630-F630)</x:f>
        <x:v>246.99999999999997</x:v>
      </x:c>
      <x:c r="L630" s="48" t="n">
        <x:f>IF(COUNT(E630,G630)&lt;2,"",E630-G630)</x:f>
        <x:v>185.10000000000002</x:v>
      </x:c>
      <x:c r="M630" s="31" t="str">
        <x:v>网站结构化接口</x:v>
      </x:c>
      <x:c r="N630" s="36" t="d">
        <x:v>2026-10-28T14:16:22.777Z</x:v>
      </x:c>
    </x:row>
    <x:row r="631">
      <x:c r="A631" s="36" t="d">
        <x:v>2026-09-22T00:00:00.000Z</x:v>
      </x:c>
      <x:c r="B631" s="48" t="n">
        <x:v>290.31</x:v>
      </x:c>
      <x:c r="C631" s="48" t="n">
        <x:v>280.81</x:v>
      </x:c>
      <x:c r="D631" s="48" t="n">
        <x:v>338.8</x:v>
      </x:c>
      <x:c r="E631" s="48" t="n">
        <x:v>330.15</x:v>
      </x:c>
      <x:c r="F631" s="48" t="n">
        <x:v>144.26</x:v>
      </x:c>
      <x:c r="G631" s="48" t="n">
        <x:v>146.03</x:v>
      </x:c>
      <x:c r="H631" s="49" t="n">
        <x:v>1715452.71</x:v>
      </x:c>
      <x:c r="I631" s="49" t="n">
        <x:v>1716971.71</x:v>
      </x:c>
      <x:c r="J631" s="48" t="n">
        <x:f>IF(COUNT(B631:C631)&lt;2,"",B631-C631)</x:f>
        <x:v>9.5</x:v>
      </x:c>
      <x:c r="K631" s="48" t="n">
        <x:f>IF(COUNT(D631,F631)&lt;2,"",D631-F631)</x:f>
        <x:v>194.54000000000002</x:v>
      </x:c>
      <x:c r="L631" s="48" t="n">
        <x:f>IF(COUNT(E631,G631)&lt;2,"",E631-G631)</x:f>
        <x:v>184.11999999999998</x:v>
      </x:c>
      <x:c r="M631" s="31" t="str">
        <x:v>网站结构化接口</x:v>
      </x:c>
      <x:c r="N631" s="36" t="d">
        <x:v>2026-10-28T14:16:22.777Z</x:v>
      </x:c>
    </x:row>
    <x:row r="632">
      <x:c r="A632" s="36" t="d">
        <x:v>2026-09-23T00:00:00.000Z</x:v>
      </x:c>
      <x:c r="B632" s="48" t="n">
        <x:v>345.36</x:v>
      </x:c>
      <x:c r="C632" s="48" t="n">
        <x:v>314.87</x:v>
      </x:c>
      <x:c r="D632" s="48" t="n">
        <x:v>373.36</x:v>
      </x:c>
      <x:c r="E632" s="48" t="n">
        <x:v>348.86</x:v>
      </x:c>
      <x:c r="F632" s="48" t="n">
        <x:v>238.58</x:v>
      </x:c>
      <x:c r="G632" s="48" t="n">
        <x:v>204.79</x:v>
      </x:c>
      <x:c r="H632" s="49" t="n">
        <x:v>1613545.93</x:v>
      </x:c>
      <x:c r="I632" s="49" t="n">
        <x:v>1618984.03</x:v>
      </x:c>
      <x:c r="J632" s="48" t="n">
        <x:f>IF(COUNT(B632:C632)&lt;2,"",B632-C632)</x:f>
        <x:v>30.49000000000001</x:v>
      </x:c>
      <x:c r="K632" s="48" t="n">
        <x:f>IF(COUNT(D632,F632)&lt;2,"",D632-F632)</x:f>
        <x:v>134.78</x:v>
      </x:c>
      <x:c r="L632" s="48" t="n">
        <x:f>IF(COUNT(E632,G632)&lt;2,"",E632-G632)</x:f>
        <x:v>144.07000000000002</x:v>
      </x:c>
      <x:c r="M632" s="31" t="str">
        <x:v>网站结构化接口</x:v>
      </x:c>
      <x:c r="N632" s="36" t="d">
        <x:v>2026-10-28T14:16:22.777Z</x:v>
      </x:c>
    </x:row>
    <x:row r="633">
      <x:c r="A633" s="36" t="d">
        <x:v>2026-09-24T00:00:00.000Z</x:v>
      </x:c>
      <x:c r="B633" s="48" t="n">
        <x:v>382.51</x:v>
      </x:c>
      <x:c r="C633" s="48" t="n">
        <x:v>380.77</x:v>
      </x:c>
      <x:c r="D633" s="48" t="n">
        <x:v>392.91</x:v>
      </x:c>
      <x:c r="E633" s="48" t="n">
        <x:v>387.61</x:v>
      </x:c>
      <x:c r="F633" s="48" t="n">
        <x:v>320.25</x:v>
      </x:c>
      <x:c r="G633" s="48" t="n">
        <x:v>338.72</x:v>
      </x:c>
      <x:c r="H633" s="49" t="n">
        <x:v>1784516.7</x:v>
      </x:c>
      <x:c r="I633" s="49" t="n">
        <x:v>1767397.85</x:v>
      </x:c>
      <x:c r="J633" s="48" t="n">
        <x:f>IF(COUNT(B633:C633)&lt;2,"",B633-C633)</x:f>
        <x:v>1.740000000000009</x:v>
      </x:c>
      <x:c r="K633" s="48" t="n">
        <x:f>IF(COUNT(D633,F633)&lt;2,"",D633-F633)</x:f>
        <x:v>72.66000000000003</x:v>
      </x:c>
      <x:c r="L633" s="48" t="n">
        <x:f>IF(COUNT(E633,G633)&lt;2,"",E633-G633)</x:f>
        <x:v>48.889999999999986</x:v>
      </x:c>
      <x:c r="M633" s="31" t="str">
        <x:v>网站结构化接口</x:v>
      </x:c>
      <x:c r="N633" s="36" t="d">
        <x:v>2026-10-28T14:16:22.777Z</x:v>
      </x:c>
    </x:row>
    <x:row r="634">
      <x:c r="A634" s="36" t="d">
        <x:v>2026-09-25T00:00:00.000Z</x:v>
      </x:c>
      <x:c r="B634" s="48" t="n">
        <x:v>339.24</x:v>
      </x:c>
      <x:c r="C634" s="48" t="n">
        <x:v>294.75</x:v>
      </x:c>
      <x:c r="D634" s="48" t="n">
        <x:v>362.08</x:v>
      </x:c>
      <x:c r="E634" s="48" t="n">
        <x:v>320.15</x:v>
      </x:c>
      <x:c r="F634" s="48" t="n">
        <x:v>249.44</x:v>
      </x:c>
      <x:c r="G634" s="48" t="n">
        <x:v>213.96</x:v>
      </x:c>
      <x:c r="H634" s="49" t="n">
        <x:v>1575539.42</x:v>
      </x:c>
      <x:c r="I634" s="49" t="n">
        <x:v>1444997.16</x:v>
      </x:c>
      <x:c r="J634" s="48" t="n">
        <x:f>IF(COUNT(B634:C634)&lt;2,"",B634-C634)</x:f>
        <x:v>44.49000000000001</x:v>
      </x:c>
      <x:c r="K634" s="48" t="n">
        <x:f>IF(COUNT(D634,F634)&lt;2,"",D634-F634)</x:f>
        <x:v>112.63999999999999</x:v>
      </x:c>
      <x:c r="L634" s="48" t="n">
        <x:f>IF(COUNT(E634,G634)&lt;2,"",E634-G634)</x:f>
        <x:v>106.18999999999997</x:v>
      </x:c>
      <x:c r="M634" s="31" t="str">
        <x:v>网站结构化接口</x:v>
      </x:c>
      <x:c r="N634" s="36" t="d">
        <x:v>2026-10-28T14:16:22.777Z</x:v>
      </x:c>
    </x:row>
    <x:row r="635">
      <x:c r="A635" s="36" t="d">
        <x:v>2026-09-26T00:00:00.000Z</x:v>
      </x:c>
      <x:c r="B635" s="48" t="n">
        <x:v>248.11</x:v>
      </x:c>
      <x:c r="C635" s="48" t="n">
        <x:v>252.84</x:v>
      </x:c>
      <x:c r="D635" s="48" t="n">
        <x:v>293.98</x:v>
      </x:c>
      <x:c r="E635" s="48" t="n">
        <x:v>289.98</x:v>
      </x:c>
      <x:c r="F635" s="48" t="n">
        <x:v>116.78</x:v>
      </x:c>
      <x:c r="G635" s="48" t="n">
        <x:v>151.5</x:v>
      </x:c>
      <x:c r="H635" s="49" t="n">
        <x:v>1424891.57</x:v>
      </x:c>
      <x:c r="I635" s="49" t="n">
        <x:v>1417214.05</x:v>
      </x:c>
      <x:c r="J635" s="48" t="n">
        <x:f>IF(COUNT(B635:C635)&lt;2,"",B635-C635)</x:f>
        <x:v>-4.72999999999999</x:v>
      </x:c>
      <x:c r="K635" s="48" t="n">
        <x:f>IF(COUNT(D635,F635)&lt;2,"",D635-F635)</x:f>
        <x:v>177.20000000000002</x:v>
      </x:c>
      <x:c r="L635" s="48" t="n">
        <x:f>IF(COUNT(E635,G635)&lt;2,"",E635-G635)</x:f>
        <x:v>138.48000000000002</x:v>
      </x:c>
      <x:c r="M635" s="31" t="str">
        <x:v>网站结构化接口</x:v>
      </x:c>
      <x:c r="N635" s="36" t="d">
        <x:v>2026-10-28T14:16:22.777Z</x:v>
      </x:c>
    </x:row>
    <x:row r="636">
      <x:c r="A636" s="36" t="d">
        <x:v>2026-09-27T00:00:00.000Z</x:v>
      </x:c>
      <x:c r="B636" s="48" t="n">
        <x:v>343.2</x:v>
      </x:c>
      <x:c r="C636" s="48" t="n">
        <x:v>357.4</x:v>
      </x:c>
      <x:c r="D636" s="48" t="n">
        <x:v>356.16</x:v>
      </x:c>
      <x:c r="E636" s="48" t="n">
        <x:v>360.07</x:v>
      </x:c>
      <x:c r="F636" s="48" t="n">
        <x:v>274.34</x:v>
      </x:c>
      <x:c r="G636" s="48" t="n">
        <x:v>337.08</x:v>
      </x:c>
      <x:c r="H636" s="49" t="n">
        <x:v>1522609.56</x:v>
      </x:c>
      <x:c r="I636" s="49" t="n">
        <x:v>1571582.69</x:v>
      </x:c>
      <x:c r="J636" s="48" t="n">
        <x:f>IF(COUNT(B636:C636)&lt;2,"",B636-C636)</x:f>
        <x:v>-14.199999999999989</x:v>
      </x:c>
      <x:c r="K636" s="48" t="n">
        <x:f>IF(COUNT(D636,F636)&lt;2,"",D636-F636)</x:f>
        <x:v>81.82000000000005</x:v>
      </x:c>
      <x:c r="L636" s="48" t="n">
        <x:f>IF(COUNT(E636,G636)&lt;2,"",E636-G636)</x:f>
        <x:v>22.99000000000001</x:v>
      </x:c>
      <x:c r="M636" s="31" t="str">
        <x:v>网站结构化接口</x:v>
      </x:c>
      <x:c r="N636" s="36" t="d">
        <x:v>2026-10-28T14:16:22.777Z</x:v>
      </x:c>
    </x:row>
    <x:row r="637">
      <x:c r="A637" s="36" t="d">
        <x:v>2026-09-28T00:00:00.000Z</x:v>
      </x:c>
      <x:c r="B637" s="48" t="n">
        <x:v>355.57</x:v>
      </x:c>
      <x:c r="C637" s="48" t="n">
        <x:v>337.42</x:v>
      </x:c>
      <x:c r="D637" s="48" t="n">
        <x:v>368.55</x:v>
      </x:c>
      <x:c r="E637" s="48" t="n">
        <x:v>353.74</x:v>
      </x:c>
      <x:c r="F637" s="48" t="n">
        <x:v>289.22</x:v>
      </x:c>
      <x:c r="G637" s="48" t="n">
        <x:v>263.53</x:v>
      </x:c>
      <x:c r="H637" s="49" t="n">
        <x:v>1646471.92</x:v>
      </x:c>
      <x:c r="I637" s="49" t="n">
        <x:v>1560965.26</x:v>
      </x:c>
      <x:c r="J637" s="48" t="n">
        <x:f>IF(COUNT(B637:C637)&lt;2,"",B637-C637)</x:f>
        <x:v>18.149999999999977</x:v>
      </x:c>
      <x:c r="K637" s="48" t="n">
        <x:f>IF(COUNT(D637,F637)&lt;2,"",D637-F637)</x:f>
        <x:v>79.32999999999998</x:v>
      </x:c>
      <x:c r="L637" s="48" t="n">
        <x:f>IF(COUNT(E637,G637)&lt;2,"",E637-G637)</x:f>
        <x:v>90.21000000000004</x:v>
      </x:c>
      <x:c r="M637" s="31" t="str">
        <x:v>网站结构化接口</x:v>
      </x:c>
      <x:c r="N637" s="36" t="d">
        <x:v>2026-10-28T14:16:22.777Z</x:v>
      </x:c>
    </x:row>
    <x:row r="638">
      <x:c r="A638" s="36" t="d">
        <x:v>2026-09-29T00:00:00.000Z</x:v>
      </x:c>
      <x:c r="B638" s="48" t="n">
        <x:v>423.85</x:v>
      </x:c>
      <x:c r="C638" s="48" t="n">
        <x:v>413.19</x:v>
      </x:c>
      <x:c r="D638" s="48" t="n">
        <x:v>490.92</x:v>
      </x:c>
      <x:c r="E638" s="48" t="n">
        <x:v>474.11</x:v>
      </x:c>
      <x:c r="F638" s="48" t="n">
        <x:v>216.27</x:v>
      </x:c>
      <x:c r="G638" s="48" t="n">
        <x:v>215.72</x:v>
      </x:c>
      <x:c r="H638" s="49" t="n">
        <x:v>1680937.8</x:v>
      </x:c>
      <x:c r="I638" s="49" t="n">
        <x:v>1691572.48</x:v>
      </x:c>
      <x:c r="J638" s="48" t="n">
        <x:f>IF(COUNT(B638:C638)&lt;2,"",B638-C638)</x:f>
        <x:v>10.660000000000025</x:v>
      </x:c>
      <x:c r="K638" s="48" t="n">
        <x:f>IF(COUNT(D638,F638)&lt;2,"",D638-F638)</x:f>
        <x:v>274.65</x:v>
      </x:c>
      <x:c r="L638" s="48" t="n">
        <x:f>IF(COUNT(E638,G638)&lt;2,"",E638-G638)</x:f>
        <x:v>258.39</x:v>
      </x:c>
      <x:c r="M638" s="31" t="str">
        <x:v>网站结构化接口</x:v>
      </x:c>
      <x:c r="N638" s="36" t="d">
        <x:v>2026-10-28T14:16:22.777Z</x:v>
      </x:c>
    </x:row>
    <x:row r="639">
      <x:c r="A639" s="36" t="d">
        <x:v>2026-09-30T00:00:00.000Z</x:v>
      </x:c>
      <x:c r="B639" s="48" t="n">
        <x:v>234</x:v>
      </x:c>
      <x:c r="C639" s="48" t="n">
        <x:v>287.98</x:v>
      </x:c>
      <x:c r="D639" s="48" t="n">
        <x:v>261.65</x:v>
      </x:c>
      <x:c r="E639" s="48" t="n">
        <x:v>299.79</x:v>
      </x:c>
      <x:c r="F639" s="48" t="n">
        <x:v>164.32</x:v>
      </x:c>
      <x:c r="G639" s="48" t="n">
        <x:v>242.36</x:v>
      </x:c>
      <x:c r="H639" s="49" t="n">
        <x:v>1441527.48</x:v>
      </x:c>
      <x:c r="I639" s="49" t="n">
        <x:v>1489445.79</x:v>
      </x:c>
      <x:c r="J639" s="48" t="n">
        <x:f>IF(COUNT(B639:C639)&lt;2,"",B639-C639)</x:f>
        <x:v>-53.98000000000002</x:v>
      </x:c>
      <x:c r="K639" s="48" t="n">
        <x:f>IF(COUNT(D639,F639)&lt;2,"",D639-F639)</x:f>
        <x:v>97.32999999999998</x:v>
      </x:c>
      <x:c r="L639" s="48" t="n">
        <x:f>IF(COUNT(E639,G639)&lt;2,"",E639-G639)</x:f>
        <x:v>57.43000000000001</x:v>
      </x:c>
      <x:c r="M639" s="31" t="str">
        <x:v>网站结构化接口</x:v>
      </x:c>
      <x:c r="N639" s="36" t="d">
        <x:v>2026-10-28T14:16:22.777Z</x:v>
      </x:c>
    </x:row>
    <x:row r="640">
      <x:c r="A640" s="36" t="d">
        <x:v>2026-10-01T00:00:00.000Z</x:v>
      </x:c>
      <x:c r="B640" s="48" t="n">
        <x:v>321.07</x:v>
      </x:c>
      <x:c r="C640" s="48" t="n">
        <x:v>305.73</x:v>
      </x:c>
      <x:c r="D640" s="48" t="n">
        <x:v>380.32</x:v>
      </x:c>
      <x:c r="E640" s="48" t="n">
        <x:v>377.32</x:v>
      </x:c>
      <x:c r="F640" s="48" t="n">
        <x:v>150.61</x:v>
      </x:c>
      <x:c r="G640" s="48" t="n">
        <x:v>124.55</x:v>
      </x:c>
      <x:c r="H640" s="49" t="n">
        <x:v>1451898.33</x:v>
      </x:c>
      <x:c r="I640" s="49" t="n">
        <x:v>1471169.09</x:v>
      </x:c>
      <x:c r="J640" s="48" t="n">
        <x:f>IF(COUNT(B640:C640)&lt;2,"",B640-C640)</x:f>
        <x:v>15.339999999999975</x:v>
      </x:c>
      <x:c r="K640" s="48" t="n">
        <x:f>IF(COUNT(D640,F640)&lt;2,"",D640-F640)</x:f>
        <x:v>229.70999999999998</x:v>
      </x:c>
      <x:c r="L640" s="48" t="n">
        <x:f>IF(COUNT(E640,G640)&lt;2,"",E640-G640)</x:f>
        <x:v>252.76999999999998</x:v>
      </x:c>
      <x:c r="M640" s="31" t="str">
        <x:v>网站结构化接口</x:v>
      </x:c>
      <x:c r="N640" s="36" t="d">
        <x:v>2026-10-28T14:16:22.777Z</x:v>
      </x:c>
    </x:row>
    <x:row r="641">
      <x:c r="A641" s="36" t="d">
        <x:v>2026-10-02T00:00:00.000Z</x:v>
      </x:c>
      <x:c r="B641" s="48" t="n">
        <x:v>219.02</x:v>
      </x:c>
      <x:c r="C641" s="48" t="n">
        <x:v>227.48</x:v>
      </x:c>
      <x:c r="D641" s="48" t="n">
        <x:v>255.89</x:v>
      </x:c>
      <x:c r="E641" s="48" t="n">
        <x:v>253.34</x:v>
      </x:c>
      <x:c r="F641" s="48" t="n">
        <x:v>164.59</x:v>
      </x:c>
      <x:c r="G641" s="48" t="n">
        <x:v>181.77</x:v>
      </x:c>
      <x:c r="H641" s="49" t="n">
        <x:v>1383315.47</x:v>
      </x:c>
      <x:c r="I641" s="49" t="n">
        <x:v>1367101.61</x:v>
      </x:c>
      <x:c r="J641" s="48" t="n">
        <x:f>IF(COUNT(B641:C641)&lt;2,"",B641-C641)</x:f>
        <x:v>-8.45999999999998</x:v>
      </x:c>
      <x:c r="K641" s="48" t="n">
        <x:f>IF(COUNT(D641,F641)&lt;2,"",D641-F641)</x:f>
        <x:v>91.29999999999998</x:v>
      </x:c>
      <x:c r="L641" s="48" t="n">
        <x:f>IF(COUNT(E641,G641)&lt;2,"",E641-G641)</x:f>
        <x:v>71.57</x:v>
      </x:c>
      <x:c r="M641" s="31" t="str">
        <x:v>网站结构化接口</x:v>
      </x:c>
      <x:c r="N641" s="36" t="d">
        <x:v>2026-10-28T14:16:22.777Z</x:v>
      </x:c>
    </x:row>
    <x:row r="642">
      <x:c r="A642" s="36" t="d">
        <x:v>2026-10-03T00:00:00.000Z</x:v>
      </x:c>
      <x:c r="B642" s="48" t="n">
        <x:v>264.94</x:v>
      </x:c>
      <x:c r="C642" s="48" t="n">
        <x:v>288.85</x:v>
      </x:c>
      <x:c r="D642" s="48" t="n">
        <x:v>314.68</x:v>
      </x:c>
      <x:c r="E642" s="48" t="n">
        <x:v>334.43</x:v>
      </x:c>
      <x:c r="F642" s="48" t="n">
        <x:v>186.79</x:v>
      </x:c>
      <x:c r="G642" s="48" t="n">
        <x:v>212.19</x:v>
      </x:c>
      <x:c r="H642" s="49" t="n">
        <x:v>1437518.65</x:v>
      </x:c>
      <x:c r="I642" s="49" t="n">
        <x:v>1447921.17</x:v>
      </x:c>
      <x:c r="J642" s="48" t="n">
        <x:f>IF(COUNT(B642:C642)&lt;2,"",B642-C642)</x:f>
        <x:v>-23.910000000000025</x:v>
      </x:c>
      <x:c r="K642" s="48" t="n">
        <x:f>IF(COUNT(D642,F642)&lt;2,"",D642-F642)</x:f>
        <x:v>127.89000000000001</x:v>
      </x:c>
      <x:c r="L642" s="48" t="n">
        <x:f>IF(COUNT(E642,G642)&lt;2,"",E642-G642)</x:f>
        <x:v>122.24000000000001</x:v>
      </x:c>
      <x:c r="M642" s="31" t="str">
        <x:v>网站结构化接口</x:v>
      </x:c>
      <x:c r="N642" s="36" t="d">
        <x:v>2026-10-28T14:16:22.777Z</x:v>
      </x:c>
    </x:row>
    <x:row r="643">
      <x:c r="A643" s="36" t="d">
        <x:v>2026-10-04T00:00:00.000Z</x:v>
      </x:c>
      <x:c r="B643" s="48" t="n">
        <x:v>343.6</x:v>
      </x:c>
      <x:c r="C643" s="48" t="n">
        <x:v>327.15</x:v>
      </x:c>
      <x:c r="D643" s="48" t="n">
        <x:v>407.49</x:v>
      </x:c>
      <x:c r="E643" s="48" t="n">
        <x:v>395.26</x:v>
      </x:c>
      <x:c r="F643" s="48" t="n">
        <x:v>156.9</x:v>
      </x:c>
      <x:c r="G643" s="48" t="n">
        <x:v>139.12</x:v>
      </x:c>
      <x:c r="H643" s="49" t="n">
        <x:v>1434695.85</x:v>
      </x:c>
      <x:c r="I643" s="49" t="n">
        <x:v>1488217.74</x:v>
      </x:c>
      <x:c r="J643" s="48" t="n">
        <x:f>IF(COUNT(B643:C643)&lt;2,"",B643-C643)</x:f>
        <x:v>16.450000000000045</x:v>
      </x:c>
      <x:c r="K643" s="48" t="n">
        <x:f>IF(COUNT(D643,F643)&lt;2,"",D643-F643)</x:f>
        <x:v>250.59</x:v>
      </x:c>
      <x:c r="L643" s="48" t="n">
        <x:f>IF(COUNT(E643,G643)&lt;2,"",E643-G643)</x:f>
        <x:v>256.14</x:v>
      </x:c>
      <x:c r="M643" s="31" t="str">
        <x:v>网站结构化接口</x:v>
      </x:c>
      <x:c r="N643" s="36" t="d">
        <x:v>2026-10-28T14:16:22.777Z</x:v>
      </x:c>
    </x:row>
    <x:row r="644">
      <x:c r="A644" s="36" t="d">
        <x:v>2026-10-05T00:00:00.000Z</x:v>
      </x:c>
      <x:c r="B644" s="48" t="n">
        <x:v>323.57</x:v>
      </x:c>
      <x:c r="C644" s="48" t="n">
        <x:v>366.91</x:v>
      </x:c>
      <x:c r="D644" s="48" t="n">
        <x:v>371.74</x:v>
      </x:c>
      <x:c r="E644" s="48" t="n">
        <x:v>431.86</x:v>
      </x:c>
      <x:c r="F644" s="48" t="n">
        <x:v>99.17</x:v>
      </x:c>
      <x:c r="G644" s="48" t="n">
        <x:v>109.45</x:v>
      </x:c>
      <x:c r="H644" s="49" t="n">
        <x:v>1492135.75</x:v>
      </x:c>
      <x:c r="I644" s="49" t="n">
        <x:v>1525731.82</x:v>
      </x:c>
      <x:c r="J644" s="48" t="n">
        <x:f>IF(COUNT(B644:C644)&lt;2,"",B644-C644)</x:f>
        <x:v>-43.34000000000003</x:v>
      </x:c>
      <x:c r="K644" s="48" t="n">
        <x:f>IF(COUNT(D644,F644)&lt;2,"",D644-F644)</x:f>
        <x:v>272.57</x:v>
      </x:c>
      <x:c r="L644" s="48" t="n">
        <x:f>IF(COUNT(E644,G644)&lt;2,"",E644-G644)</x:f>
        <x:v>322.41</x:v>
      </x:c>
      <x:c r="M644" s="31" t="str">
        <x:v>网站结构化接口</x:v>
      </x:c>
      <x:c r="N644" s="36" t="d">
        <x:v>2026-10-28T14:16:22.777Z</x:v>
      </x:c>
    </x:row>
    <x:row r="645">
      <x:c r="A645" s="36" t="d">
        <x:v>2026-10-06T00:00:00.000Z</x:v>
      </x:c>
      <x:c r="B645" s="48" t="n">
        <x:v>334.43</x:v>
      </x:c>
      <x:c r="C645" s="48" t="n">
        <x:v>344.9</x:v>
      </x:c>
      <x:c r="D645" s="48" t="n">
        <x:v>373.97</x:v>
      </x:c>
      <x:c r="E645" s="48" t="n">
        <x:v>394.41</x:v>
      </x:c>
      <x:c r="F645" s="48" t="n">
        <x:v>172.31</x:v>
      </x:c>
      <x:c r="G645" s="48" t="n">
        <x:v>166.25</x:v>
      </x:c>
      <x:c r="H645" s="49" t="n">
        <x:v>1519039.48</x:v>
      </x:c>
      <x:c r="I645" s="49" t="n">
        <x:v>1560862.79</x:v>
      </x:c>
      <x:c r="J645" s="48" t="n">
        <x:f>IF(COUNT(B645:C645)&lt;2,"",B645-C645)</x:f>
        <x:v>-10.46999999999997</x:v>
      </x:c>
      <x:c r="K645" s="48" t="n">
        <x:f>IF(COUNT(D645,F645)&lt;2,"",D645-F645)</x:f>
        <x:v>201.66000000000003</x:v>
      </x:c>
      <x:c r="L645" s="48" t="n">
        <x:f>IF(COUNT(E645,G645)&lt;2,"",E645-G645)</x:f>
        <x:v>228.16000000000003</x:v>
      </x:c>
      <x:c r="M645" s="31" t="str">
        <x:v>网站结构化接口</x:v>
      </x:c>
      <x:c r="N645" s="36" t="d">
        <x:v>2026-10-28T14:16:22.777Z</x:v>
      </x:c>
    </x:row>
    <x:row r="646">
      <x:c r="A646" s="36" t="d">
        <x:v>2026-10-07T00:00:00.000Z</x:v>
      </x:c>
      <x:c r="B646" s="48" t="n">
        <x:v>103.89</x:v>
      </x:c>
      <x:c r="C646" s="48" t="n">
        <x:v>101.25</x:v>
      </x:c>
      <x:c r="D646" s="48" t="n">
        <x:v>117.17</x:v>
      </x:c>
      <x:c r="E646" s="48" t="n">
        <x:v>114.95</x:v>
      </x:c>
      <x:c r="F646" s="48" t="n">
        <x:v>79.82</x:v>
      </x:c>
      <x:c r="G646" s="48" t="n">
        <x:v>76.18</x:v>
      </x:c>
      <x:c r="H646" s="49" t="n">
        <x:v>1476003.9</x:v>
      </x:c>
      <x:c r="I646" s="49" t="n">
        <x:v>1460981.09</x:v>
      </x:c>
      <x:c r="J646" s="48" t="n">
        <x:f>IF(COUNT(B646:C646)&lt;2,"",B646-C646)</x:f>
        <x:v>2.6400000000000006</x:v>
      </x:c>
      <x:c r="K646" s="48" t="n">
        <x:f>IF(COUNT(D646,F646)&lt;2,"",D646-F646)</x:f>
        <x:v>37.35000000000001</x:v>
      </x:c>
      <x:c r="L646" s="48" t="n">
        <x:f>IF(COUNT(E646,G646)&lt;2,"",E646-G646)</x:f>
        <x:v>38.769999999999996</x:v>
      </x:c>
      <x:c r="M646" s="31" t="str">
        <x:v>网站结构化接口</x:v>
      </x:c>
      <x:c r="N646" s="36" t="d">
        <x:v>2026-10-28T14:16:22.777Z</x:v>
      </x:c>
    </x:row>
    <x:row r="647">
      <x:c r="A647" s="36" t="d">
        <x:v>2026-10-08T00:00:00.000Z</x:v>
      </x:c>
      <x:c r="B647" s="48" t="n">
        <x:v>297.38</x:v>
      </x:c>
      <x:c r="C647" s="48" t="n">
        <x:v>344.64</x:v>
      </x:c>
      <x:c r="D647" s="48" t="n">
        <x:v>344.88</x:v>
      </x:c>
      <x:c r="E647" s="48" t="n">
        <x:v>408.49</x:v>
      </x:c>
      <x:c r="F647" s="48" t="n">
        <x:v>195.31</x:v>
      </x:c>
      <x:c r="G647" s="48" t="n">
        <x:v>210.29</x:v>
      </x:c>
      <x:c r="H647" s="49" t="n">
        <x:v>1554275.25</x:v>
      </x:c>
      <x:c r="I647" s="49" t="n">
        <x:v>1599286.16</x:v>
      </x:c>
      <x:c r="J647" s="48" t="n">
        <x:f>IF(COUNT(B647:C647)&lt;2,"",B647-C647)</x:f>
        <x:v>-47.25999999999999</x:v>
      </x:c>
      <x:c r="K647" s="48" t="n">
        <x:f>IF(COUNT(D647,F647)&lt;2,"",D647-F647)</x:f>
        <x:v>149.57</x:v>
      </x:c>
      <x:c r="L647" s="48" t="n">
        <x:f>IF(COUNT(E647,G647)&lt;2,"",E647-G647)</x:f>
        <x:v>198.20000000000002</x:v>
      </x:c>
      <x:c r="M647" s="31" t="str">
        <x:v>网站结构化接口</x:v>
      </x:c>
      <x:c r="N647" s="36" t="d">
        <x:v>2026-10-28T14:16:22.777Z</x:v>
      </x:c>
    </x:row>
    <x:row r="648">
      <x:c r="A648" s="36" t="d">
        <x:v>2026-10-09T00:00:00.000Z</x:v>
      </x:c>
      <x:c r="B648" s="48" t="n">
        <x:v>264.25</x:v>
      </x:c>
      <x:c r="C648" s="48" t="n">
        <x:v>278.37</x:v>
      </x:c>
      <x:c r="D648" s="48" t="n">
        <x:v>310.78</x:v>
      </x:c>
      <x:c r="E648" s="48" t="n">
        <x:v>323.66</x:v>
      </x:c>
      <x:c r="F648" s="48" t="n">
        <x:v>146.51</x:v>
      </x:c>
      <x:c r="G648" s="48" t="n">
        <x:v>167.99</x:v>
      </x:c>
      <x:c r="H648" s="49" t="n">
        <x:v>1610934.2</x:v>
      </x:c>
      <x:c r="I648" s="49" t="n">
        <x:v>1648381.51</x:v>
      </x:c>
      <x:c r="J648" s="48" t="n">
        <x:f>IF(COUNT(B648:C648)&lt;2,"",B648-C648)</x:f>
        <x:v>-14.120000000000005</x:v>
      </x:c>
      <x:c r="K648" s="48" t="n">
        <x:f>IF(COUNT(D648,F648)&lt;2,"",D648-F648)</x:f>
        <x:v>164.26999999999998</x:v>
      </x:c>
      <x:c r="L648" s="48" t="n">
        <x:f>IF(COUNT(E648,G648)&lt;2,"",E648-G648)</x:f>
        <x:v>155.67000000000002</x:v>
      </x:c>
      <x:c r="M648" s="31" t="str">
        <x:v>网站结构化接口</x:v>
      </x:c>
      <x:c r="N648" s="36" t="d">
        <x:v>2026-10-28T14:16:22.777Z</x:v>
      </x:c>
    </x:row>
    <x:row r="649">
      <x:c r="A649" s="36" t="d">
        <x:v>2026-10-10T00:00:00.000Z</x:v>
      </x:c>
      <x:c r="B649" s="48" t="n">
        <x:v>378.83</x:v>
      </x:c>
      <x:c r="C649" s="48" t="n">
        <x:v>387.17</x:v>
      </x:c>
      <x:c r="D649" s="48" t="n">
        <x:v>433.2</x:v>
      </x:c>
      <x:c r="E649" s="48" t="n">
        <x:v>445.65</x:v>
      </x:c>
      <x:c r="F649" s="48" t="n">
        <x:v>158.55</x:v>
      </x:c>
      <x:c r="G649" s="48" t="n">
        <x:v>172.21</x:v>
      </x:c>
      <x:c r="H649" s="49" t="n">
        <x:v>1641944.87</x:v>
      </x:c>
      <x:c r="I649" s="49" t="n">
        <x:v>1769933.54</x:v>
      </x:c>
      <x:c r="J649" s="48" t="n">
        <x:f>IF(COUNT(B649:C649)&lt;2,"",B649-C649)</x:f>
        <x:v>-8.340000000000032</x:v>
      </x:c>
      <x:c r="K649" s="48" t="n">
        <x:f>IF(COUNT(D649,F649)&lt;2,"",D649-F649)</x:f>
        <x:v>274.65</x:v>
      </x:c>
      <x:c r="L649" s="48" t="n">
        <x:f>IF(COUNT(E649,G649)&lt;2,"",E649-G649)</x:f>
        <x:v>273.43999999999994</x:v>
      </x:c>
      <x:c r="M649" s="31" t="str">
        <x:v>网站结构化接口</x:v>
      </x:c>
      <x:c r="N649" s="36" t="d">
        <x:v>2026-10-28T14:16:22.777Z</x:v>
      </x:c>
    </x:row>
    <x:row r="650">
      <x:c r="A650" s="36" t="d">
        <x:v>2026-10-11T00:00:00.000Z</x:v>
      </x:c>
      <x:c r="B650" s="48" t="n">
        <x:v>294.24</x:v>
      </x:c>
      <x:c r="C650" s="48" t="n">
        <x:v>313.15</x:v>
      </x:c>
      <x:c r="D650" s="48" t="n">
        <x:v>305.22</x:v>
      </x:c>
      <x:c r="E650" s="48" t="n">
        <x:v>321.39</x:v>
      </x:c>
      <x:c r="F650" s="48" t="n">
        <x:v>216.42</x:v>
      </x:c>
      <x:c r="G650" s="48" t="n">
        <x:v>249.53</x:v>
      </x:c>
      <x:c r="H650" s="49" t="n">
        <x:v>1675121.97</x:v>
      </x:c>
      <x:c r="I650" s="49" t="n">
        <x:v>1726660.61</x:v>
      </x:c>
      <x:c r="J650" s="48" t="n">
        <x:f>IF(COUNT(B650:C650)&lt;2,"",B650-C650)</x:f>
        <x:v>-18.909999999999968</x:v>
      </x:c>
      <x:c r="K650" s="48" t="n">
        <x:f>IF(COUNT(D650,F650)&lt;2,"",D650-F650)</x:f>
        <x:v>88.80000000000004</x:v>
      </x:c>
      <x:c r="L650" s="48" t="n">
        <x:f>IF(COUNT(E650,G650)&lt;2,"",E650-G650)</x:f>
        <x:v>71.85999999999999</x:v>
      </x:c>
      <x:c r="M650" s="31" t="str">
        <x:v>网站结构化接口</x:v>
      </x:c>
      <x:c r="N650" s="36" t="d">
        <x:v>2026-10-28T14:16:22.777Z</x:v>
      </x:c>
    </x:row>
    <x:row r="651">
      <x:c r="A651" s="36" t="d">
        <x:v>2026-10-12T00:00:00.000Z</x:v>
      </x:c>
      <x:c r="B651" s="48" t="n">
        <x:v>320.5</x:v>
      </x:c>
      <x:c r="C651" s="48" t="n">
        <x:v>344.77</x:v>
      </x:c>
      <x:c r="D651" s="48" t="n">
        <x:v>343.24</x:v>
      </x:c>
      <x:c r="E651" s="48" t="n">
        <x:v>368.1</x:v>
      </x:c>
      <x:c r="F651" s="48" t="n">
        <x:v>198.47</x:v>
      </x:c>
      <x:c r="G651" s="48" t="n">
        <x:v>246.7</x:v>
      </x:c>
      <x:c r="H651" s="49" t="n">
        <x:v>1766734.83</x:v>
      </x:c>
      <x:c r="I651" s="49" t="n">
        <x:v>1797130.9</x:v>
      </x:c>
      <x:c r="J651" s="48" t="n">
        <x:f>IF(COUNT(B651:C651)&lt;2,"",B651-C651)</x:f>
        <x:v>-24.269999999999982</x:v>
      </x:c>
      <x:c r="K651" s="48" t="n">
        <x:f>IF(COUNT(D651,F651)&lt;2,"",D651-F651)</x:f>
        <x:v>144.77</x:v>
      </x:c>
      <x:c r="L651" s="48" t="n">
        <x:f>IF(COUNT(E651,G651)&lt;2,"",E651-G651)</x:f>
        <x:v>121.40000000000003</x:v>
      </x:c>
      <x:c r="M651" s="31" t="str">
        <x:v>网站结构化接口</x:v>
      </x:c>
      <x:c r="N651" s="36" t="d">
        <x:v>2026-10-28T14:16:22.777Z</x:v>
      </x:c>
    </x:row>
    <x:row r="652">
      <x:c r="A652" s="36" t="d">
        <x:v>2026-10-13T00:00:00.000Z</x:v>
      </x:c>
      <x:c r="B652" s="48" t="n">
        <x:v>300.46</x:v>
      </x:c>
      <x:c r="C652" s="48" t="n">
        <x:v>332.45</x:v>
      </x:c>
      <x:c r="D652" s="48" t="n">
        <x:v>335.05</x:v>
      </x:c>
      <x:c r="E652" s="48" t="n">
        <x:v>361.5</x:v>
      </x:c>
      <x:c r="F652" s="48" t="n">
        <x:v>128.64</x:v>
      </x:c>
      <x:c r="G652" s="48" t="n">
        <x:v>112.58</x:v>
      </x:c>
      <x:c r="H652" s="49" t="n">
        <x:v>1677652.87</x:v>
      </x:c>
      <x:c r="I652" s="49" t="n">
        <x:v>1708253.62</x:v>
      </x:c>
      <x:c r="J652" s="48" t="n">
        <x:f>IF(COUNT(B652:C652)&lt;2,"",B652-C652)</x:f>
        <x:v>-31.99000000000001</x:v>
      </x:c>
      <x:c r="K652" s="48" t="n">
        <x:f>IF(COUNT(D652,F652)&lt;2,"",D652-F652)</x:f>
        <x:v>206.41000000000003</x:v>
      </x:c>
      <x:c r="L652" s="48" t="n">
        <x:f>IF(COUNT(E652,G652)&lt;2,"",E652-G652)</x:f>
        <x:v>248.92000000000002</x:v>
      </x:c>
      <x:c r="M652" s="31" t="str">
        <x:v>网站结构化接口</x:v>
      </x:c>
      <x:c r="N652" s="36" t="d">
        <x:v>2026-10-28T14:16:22.777Z</x:v>
      </x:c>
    </x:row>
    <x:row r="653">
      <x:c r="A653" s="36" t="d">
        <x:v>2026-10-14T00:00:00.000Z</x:v>
      </x:c>
      <x:c r="B653" s="48" t="n">
        <x:v>248.48</x:v>
      </x:c>
      <x:c r="C653" s="48" t="n">
        <x:v>218.14</x:v>
      </x:c>
      <x:c r="D653" s="48" t="n">
        <x:v>287.78</x:v>
      </x:c>
      <x:c r="E653" s="48" t="n">
        <x:v>261.4</x:v>
      </x:c>
      <x:c r="F653" s="48" t="n">
        <x:v>148.13</x:v>
      </x:c>
      <x:c r="G653" s="48" t="n">
        <x:v>113.91</x:v>
      </x:c>
      <x:c r="H653" s="49" t="n">
        <x:v>1672880.69</x:v>
      </x:c>
      <x:c r="I653" s="49" t="n">
        <x:v>1649777.14</x:v>
      </x:c>
      <x:c r="J653" s="48" t="n">
        <x:f>IF(COUNT(B653:C653)&lt;2,"",B653-C653)</x:f>
        <x:v>30.340000000000003</x:v>
      </x:c>
      <x:c r="K653" s="48" t="n">
        <x:f>IF(COUNT(D653,F653)&lt;2,"",D653-F653)</x:f>
        <x:v>139.64999999999998</x:v>
      </x:c>
      <x:c r="L653" s="48" t="n">
        <x:f>IF(COUNT(E653,G653)&lt;2,"",E653-G653)</x:f>
        <x:v>147.48999999999998</x:v>
      </x:c>
      <x:c r="M653" s="31" t="str">
        <x:v>网站结构化接口</x:v>
      </x:c>
      <x:c r="N653" s="36" t="d">
        <x:v>2026-10-28T14:16:22.777Z</x:v>
      </x:c>
    </x:row>
    <x:row r="654">
      <x:c r="A654" s="36" t="d">
        <x:v>2026-10-15T00:00:00.000Z</x:v>
      </x:c>
      <x:c r="B654" s="48" t="n">
        <x:v>350.88</x:v>
      </x:c>
      <x:c r="C654" s="48" t="n">
        <x:v>388.99</x:v>
      </x:c>
      <x:c r="D654" s="48" t="n">
        <x:v>383.27</x:v>
      </x:c>
      <x:c r="E654" s="48" t="n">
        <x:v>432.11</x:v>
      </x:c>
      <x:c r="F654" s="48" t="n">
        <x:v>197.68</x:v>
      </x:c>
      <x:c r="G654" s="48" t="n">
        <x:v>200.34</x:v>
      </x:c>
      <x:c r="H654" s="49" t="n">
        <x:v>1829506.98</x:v>
      </x:c>
      <x:c r="I654" s="49" t="n">
        <x:v>1845066.39</x:v>
      </x:c>
      <x:c r="J654" s="48" t="n">
        <x:f>IF(COUNT(B654:C654)&lt;2,"",B654-C654)</x:f>
        <x:v>-38.110000000000014</x:v>
      </x:c>
      <x:c r="K654" s="48" t="n">
        <x:f>IF(COUNT(D654,F654)&lt;2,"",D654-F654)</x:f>
        <x:v>185.58999999999997</x:v>
      </x:c>
      <x:c r="L654" s="48" t="n">
        <x:f>IF(COUNT(E654,G654)&lt;2,"",E654-G654)</x:f>
        <x:v>231.77</x:v>
      </x:c>
      <x:c r="M654" s="31" t="str">
        <x:v>网站结构化接口</x:v>
      </x:c>
      <x:c r="N654" s="36" t="d">
        <x:v>2026-10-28T14:16:22.777Z</x:v>
      </x:c>
    </x:row>
    <x:row r="655">
      <x:c r="A655" s="36" t="d">
        <x:v>2026-10-16T00:00:00.000Z</x:v>
      </x:c>
      <x:c r="B655" s="48" t="n">
        <x:v>332.85</x:v>
      </x:c>
      <x:c r="C655" s="48" t="n">
        <x:v>317.9</x:v>
      </x:c>
      <x:c r="D655" s="48" t="n">
        <x:v>325.98</x:v>
      </x:c>
      <x:c r="E655" s="48" t="n">
        <x:v>318.77</x:v>
      </x:c>
      <x:c r="F655" s="48" t="n">
        <x:v>333.87</x:v>
      </x:c>
      <x:c r="G655" s="48" t="n">
        <x:v>289.51</x:v>
      </x:c>
      <x:c r="H655" s="49" t="n">
        <x:v>1864831</x:v>
      </x:c>
      <x:c r="I655" s="49" t="n">
        <x:v>1857013.1</x:v>
      </x:c>
      <x:c r="J655" s="48" t="n">
        <x:f>IF(COUNT(B655:C655)&lt;2,"",B655-C655)</x:f>
        <x:v>14.950000000000045</x:v>
      </x:c>
      <x:c r="K655" s="48" t="n">
        <x:f>IF(COUNT(D655,F655)&lt;2,"",D655-F655)</x:f>
        <x:v>-7.889999999999986</x:v>
      </x:c>
      <x:c r="L655" s="48" t="n">
        <x:f>IF(COUNT(E655,G655)&lt;2,"",E655-G655)</x:f>
        <x:v>29.25999999999999</x:v>
      </x:c>
      <x:c r="M655" s="31" t="str">
        <x:v>网站结构化接口</x:v>
      </x:c>
      <x:c r="N655" s="36" t="d">
        <x:v>2026-10-28T14:16:22.777Z</x:v>
      </x:c>
    </x:row>
    <x:row r="656">
      <x:c r="A656" s="36" t="d">
        <x:v>2026-10-17T00:00:00.000Z</x:v>
      </x:c>
      <x:c r="B656" s="48" t="n">
        <x:v>297.59</x:v>
      </x:c>
      <x:c r="C656" s="48" t="n">
        <x:v>237.28</x:v>
      </x:c>
      <x:c r="D656" s="48" t="n">
        <x:v>293.44</x:v>
      </x:c>
      <x:c r="E656" s="48" t="n">
        <x:v>240.9</x:v>
      </x:c>
      <x:c r="F656" s="48" t="n">
        <x:v>290.06</x:v>
      </x:c>
      <x:c r="G656" s="48" t="n">
        <x:v>219.47</x:v>
      </x:c>
      <x:c r="H656" s="49" t="n">
        <x:v>1747700.96</x:v>
      </x:c>
      <x:c r="I656" s="49" t="n">
        <x:v>1637990.27</x:v>
      </x:c>
      <x:c r="J656" s="48" t="n">
        <x:f>IF(COUNT(B656:C656)&lt;2,"",B656-C656)</x:f>
        <x:v>60.309999999999974</x:v>
      </x:c>
      <x:c r="K656" s="48" t="n">
        <x:f>IF(COUNT(D656,F656)&lt;2,"",D656-F656)</x:f>
        <x:v>3.3799999999999955</x:v>
      </x:c>
      <x:c r="L656" s="48" t="n">
        <x:f>IF(COUNT(E656,G656)&lt;2,"",E656-G656)</x:f>
        <x:v>21.430000000000007</x:v>
      </x:c>
      <x:c r="M656" s="31" t="str">
        <x:v>网站结构化接口</x:v>
      </x:c>
      <x:c r="N656" s="36" t="d">
        <x:v>2026-10-28T14:16:22.777Z</x:v>
      </x:c>
    </x:row>
    <x:row r="657">
      <x:c r="A657" s="36" t="d">
        <x:v>2026-10-18T00:00:00.000Z</x:v>
      </x:c>
      <x:c r="B657" s="48" t="n">
        <x:v>350.69</x:v>
      </x:c>
      <x:c r="C657" s="48" t="n">
        <x:v>272.54</x:v>
      </x:c>
      <x:c r="D657" s="48" t="n">
        <x:v>370.93</x:v>
      </x:c>
      <x:c r="E657" s="48" t="n">
        <x:v>302.84</x:v>
      </x:c>
      <x:c r="F657" s="48" t="n">
        <x:v>276.77</x:v>
      </x:c>
      <x:c r="G657" s="48" t="n">
        <x:v>188.59</x:v>
      </x:c>
      <x:c r="H657" s="49" t="n">
        <x:v>1872090.74</x:v>
      </x:c>
      <x:c r="I657" s="49" t="n">
        <x:v>1719409.13</x:v>
      </x:c>
      <x:c r="J657" s="48" t="n">
        <x:f>IF(COUNT(B657:C657)&lt;2,"",B657-C657)</x:f>
        <x:v>78.14999999999998</x:v>
      </x:c>
      <x:c r="K657" s="48" t="n">
        <x:f>IF(COUNT(D657,F657)&lt;2,"",D657-F657)</x:f>
        <x:v>94.16000000000003</x:v>
      </x:c>
      <x:c r="L657" s="48" t="n">
        <x:f>IF(COUNT(E657,G657)&lt;2,"",E657-G657)</x:f>
        <x:v>114.24999999999997</x:v>
      </x:c>
      <x:c r="M657" s="31" t="str">
        <x:v>网站结构化接口</x:v>
      </x:c>
      <x:c r="N657" s="36" t="d">
        <x:v>2026-10-28T14:16:22.777Z</x:v>
      </x:c>
    </x:row>
    <x:row r="658">
      <x:c r="A658" s="36" t="d">
        <x:v>2026-10-19T00:00:00.000Z</x:v>
      </x:c>
      <x:c r="B658" s="48" t="n">
        <x:v>288.08</x:v>
      </x:c>
      <x:c r="C658" s="48" t="n">
        <x:v>250.71</x:v>
      </x:c>
      <x:c r="D658" s="48" t="n">
        <x:v>309.61</x:v>
      </x:c>
      <x:c r="E658" s="48" t="n">
        <x:v>280.52</x:v>
      </x:c>
      <x:c r="F658" s="48" t="n">
        <x:v>204.38</x:v>
      </x:c>
      <x:c r="G658" s="48" t="n">
        <x:v>151.76</x:v>
      </x:c>
      <x:c r="H658" s="49" t="n">
        <x:v>1700596.96</x:v>
      </x:c>
      <x:c r="I658" s="49" t="n">
        <x:v>1655580.79</x:v>
      </x:c>
      <x:c r="J658" s="48" t="n">
        <x:f>IF(COUNT(B658:C658)&lt;2,"",B658-C658)</x:f>
        <x:v>37.369999999999976</x:v>
      </x:c>
      <x:c r="K658" s="48" t="n">
        <x:f>IF(COUNT(D658,F658)&lt;2,"",D658-F658)</x:f>
        <x:v>105.23000000000002</x:v>
      </x:c>
      <x:c r="L658" s="48" t="n">
        <x:f>IF(COUNT(E658,G658)&lt;2,"",E658-G658)</x:f>
        <x:v>128.76</x:v>
      </x:c>
      <x:c r="M658" s="31" t="str">
        <x:v>网站结构化接口</x:v>
      </x:c>
      <x:c r="N658" s="36" t="d">
        <x:v>2026-10-28T14:16:22.777Z</x:v>
      </x:c>
    </x:row>
    <x:row r="659">
      <x:c r="A659" s="36" t="d">
        <x:v>2026-10-20T00:00:00.000Z</x:v>
      </x:c>
      <x:c r="B659" s="48" t="n">
        <x:v>291.15</x:v>
      </x:c>
      <x:c r="C659" s="48" t="n">
        <x:v>292.21</x:v>
      </x:c>
      <x:c r="D659" s="48" t="n">
        <x:v>321.45</x:v>
      </x:c>
      <x:c r="E659" s="48" t="n">
        <x:v>309.93</x:v>
      </x:c>
      <x:c r="F659" s="48" t="n">
        <x:v>224.05</x:v>
      </x:c>
      <x:c r="G659" s="48" t="n">
        <x:v>245.04</x:v>
      </x:c>
      <x:c r="H659" s="49" t="n">
        <x:v>1745559.7</x:v>
      </x:c>
      <x:c r="I659" s="49" t="n">
        <x:v>1744672.62</x:v>
      </x:c>
      <x:c r="J659" s="48" t="n">
        <x:f>IF(COUNT(B659:C659)&lt;2,"",B659-C659)</x:f>
        <x:v>-1.0600000000000023</x:v>
      </x:c>
      <x:c r="K659" s="48" t="n">
        <x:f>IF(COUNT(D659,F659)&lt;2,"",D659-F659)</x:f>
        <x:v>97.39999999999998</x:v>
      </x:c>
      <x:c r="L659" s="48" t="n">
        <x:f>IF(COUNT(E659,G659)&lt;2,"",E659-G659)</x:f>
        <x:v>64.89000000000001</x:v>
      </x:c>
      <x:c r="M659" s="31" t="str">
        <x:v>网站结构化接口</x:v>
      </x:c>
      <x:c r="N659" s="36" t="d">
        <x:v>2026-10-28T14:16:22.777Z</x:v>
      </x:c>
    </x:row>
    <x:row r="660">
      <x:c r="A660" s="36" t="d">
        <x:v>2026-10-21T00:00:00.000Z</x:v>
      </x:c>
      <x:c r="B660" s="48" t="n">
        <x:v>325.6</x:v>
      </x:c>
      <x:c r="C660" s="48" t="n">
        <x:v>308.63</x:v>
      </x:c>
      <x:c r="D660" s="48" t="n">
        <x:v>375.29</x:v>
      </x:c>
      <x:c r="E660" s="48" t="n">
        <x:v>359.8</x:v>
      </x:c>
      <x:c r="F660" s="48" t="n">
        <x:v>183.24</x:v>
      </x:c>
      <x:c r="G660" s="48" t="n">
        <x:v>179.47</x:v>
      </x:c>
      <x:c r="H660" s="49" t="n">
        <x:v>1701562.5</x:v>
      </x:c>
      <x:c r="I660" s="49" t="n">
        <x:v>1760276.46</x:v>
      </x:c>
      <x:c r="J660" s="48" t="n">
        <x:f>IF(COUNT(B660:C660)&lt;2,"",B660-C660)</x:f>
        <x:v>16.970000000000027</x:v>
      </x:c>
      <x:c r="K660" s="48" t="n">
        <x:f>IF(COUNT(D660,F660)&lt;2,"",D660-F660)</x:f>
        <x:v>192.05</x:v>
      </x:c>
      <x:c r="L660" s="48" t="n">
        <x:f>IF(COUNT(E660,G660)&lt;2,"",E660-G660)</x:f>
        <x:v>180.33</x:v>
      </x:c>
      <x:c r="M660" s="31" t="str">
        <x:v>网站结构化接口</x:v>
      </x:c>
      <x:c r="N660" s="36" t="d">
        <x:v>2026-10-28T14:16:22.777Z</x:v>
      </x:c>
    </x:row>
    <x:row r="661">
      <x:c r="A661" s="36" t="d">
        <x:v>2026-10-22T00:00:00.000Z</x:v>
      </x:c>
      <x:c r="B661" s="48" t="n">
        <x:v>342.24</x:v>
      </x:c>
      <x:c r="C661" s="48" t="n">
        <x:v>335.29</x:v>
      </x:c>
      <x:c r="D661" s="48" t="n">
        <x:v>354.99</x:v>
      </x:c>
      <x:c r="E661" s="48" t="n">
        <x:v>345.58</x:v>
      </x:c>
      <x:c r="F661" s="48" t="n">
        <x:v>289.01</x:v>
      </x:c>
      <x:c r="G661" s="48" t="n">
        <x:v>294.43</x:v>
      </x:c>
      <x:c r="H661" s="49" t="n">
        <x:v>1774079.68</x:v>
      </x:c>
      <x:c r="I661" s="49" t="n">
        <x:v>1790940.52</x:v>
      </x:c>
      <x:c r="J661" s="48" t="n">
        <x:f>IF(COUNT(B661:C661)&lt;2,"",B661-C661)</x:f>
        <x:v>6.949999999999989</x:v>
      </x:c>
      <x:c r="K661" s="48" t="n">
        <x:f>IF(COUNT(D661,F661)&lt;2,"",D661-F661)</x:f>
        <x:v>65.98000000000002</x:v>
      </x:c>
      <x:c r="L661" s="48" t="n">
        <x:f>IF(COUNT(E661,G661)&lt;2,"",E661-G661)</x:f>
        <x:v>51.14999999999998</x:v>
      </x:c>
      <x:c r="M661" s="31" t="str">
        <x:v>网站结构化接口</x:v>
      </x:c>
      <x:c r="N661" s="36" t="d">
        <x:v>2026-10-28T14:16:22.777Z</x:v>
      </x:c>
    </x:row>
    <x:row r="662">
      <x:c r="A662" s="36" t="d">
        <x:v>2026-10-23T00:00:00.000Z</x:v>
      </x:c>
      <x:c r="B662" s="48" t="n">
        <x:v>289.16</x:v>
      </x:c>
      <x:c r="C662" s="48" t="n">
        <x:v>314.4</x:v>
      </x:c>
      <x:c r="D662" s="48" t="n">
        <x:v>321.49</x:v>
      </x:c>
      <x:c r="E662" s="48" t="n">
        <x:v>358.17</x:v>
      </x:c>
      <x:c r="F662" s="48" t="n">
        <x:v>219.21</x:v>
      </x:c>
      <x:c r="G662" s="48" t="n">
        <x:v>222.08</x:v>
      </x:c>
      <x:c r="H662" s="49" t="n">
        <x:v>1704227.55</x:v>
      </x:c>
      <x:c r="I662" s="49" t="n">
        <x:v>1769410.84</x:v>
      </x:c>
      <x:c r="J662" s="48" t="n">
        <x:f>IF(COUNT(B662:C662)&lt;2,"",B662-C662)</x:f>
        <x:v>-25.239999999999952</x:v>
      </x:c>
      <x:c r="K662" s="48" t="n">
        <x:f>IF(COUNT(D662,F662)&lt;2,"",D662-F662)</x:f>
        <x:v>102.28</x:v>
      </x:c>
      <x:c r="L662" s="48" t="n">
        <x:f>IF(COUNT(E662,G662)&lt;2,"",E662-G662)</x:f>
        <x:v>136.09</x:v>
      </x:c>
      <x:c r="M662" s="31" t="str">
        <x:v>网站结构化接口</x:v>
      </x:c>
      <x:c r="N662" s="36" t="d">
        <x:v>2026-10-28T14:16:22.777Z</x:v>
      </x:c>
    </x:row>
    <x:row r="663">
      <x:c r="A663" s="36" t="d">
        <x:v>2026-10-24T00:00:00.000Z</x:v>
      </x:c>
      <x:c r="B663" s="48" t="n">
        <x:v>358.59</x:v>
      </x:c>
      <x:c r="C663" s="48" t="n">
        <x:v>394.01</x:v>
      </x:c>
      <x:c r="D663" s="48" t="n">
        <x:v>365.15</x:v>
      </x:c>
      <x:c r="E663" s="48" t="n">
        <x:v>394.71</x:v>
      </x:c>
      <x:c r="F663" s="48" t="n">
        <x:v>316.69</x:v>
      </x:c>
      <x:c r="G663" s="48" t="n">
        <x:v>375.49</x:v>
      </x:c>
      <x:c r="H663" s="49" t="n">
        <x:v>1814560.01</x:v>
      </x:c>
      <x:c r="I663" s="49" t="n">
        <x:v>1898695.12</x:v>
      </x:c>
      <x:c r="J663" s="48" t="n">
        <x:f>IF(COUNT(B663:C663)&lt;2,"",B663-C663)</x:f>
        <x:v>-35.420000000000016</x:v>
      </x:c>
      <x:c r="K663" s="48" t="n">
        <x:f>IF(COUNT(D663,F663)&lt;2,"",D663-F663)</x:f>
        <x:v>48.45999999999998</x:v>
      </x:c>
      <x:c r="L663" s="48" t="n">
        <x:f>IF(COUNT(E663,G663)&lt;2,"",E663-G663)</x:f>
        <x:v>19.21999999999997</x:v>
      </x:c>
      <x:c r="M663" s="31" t="str">
        <x:v>网站结构化接口</x:v>
      </x:c>
      <x:c r="N663" s="36" t="d">
        <x:v>2026-10-28T14:16:22.777Z</x:v>
      </x:c>
    </x:row>
    <x:row r="664">
      <x:c r="A664" s="36" t="d">
        <x:v>2026-10-25T00:00:00.000Z</x:v>
      </x:c>
      <x:c r="B664" s="48" t="n">
        <x:v>359.51</x:v>
      </x:c>
      <x:c r="C664" s="48" t="n">
        <x:v>358.79</x:v>
      </x:c>
      <x:c r="D664" s="48" t="n">
        <x:v>358.05</x:v>
      </x:c>
      <x:c r="E664" s="48" t="n">
        <x:v>357.77</x:v>
      </x:c>
      <x:c r="F664" s="48" t="n">
        <x:v>350.34</x:v>
      </x:c>
      <x:c r="G664" s="48" t="n">
        <x:v>342.44</x:v>
      </x:c>
      <x:c r="H664" s="49" t="n">
        <x:v>1898990.38</x:v>
      </x:c>
      <x:c r="I664" s="49" t="n">
        <x:v>1862415.87</x:v>
      </x:c>
      <x:c r="J664" s="48" t="n">
        <x:f>IF(COUNT(B664:C664)&lt;2,"",B664-C664)</x:f>
        <x:v>0.7199999999999704</x:v>
      </x:c>
      <x:c r="K664" s="48" t="n">
        <x:f>IF(COUNT(D664,F664)&lt;2,"",D664-F664)</x:f>
        <x:v>7.710000000000036</x:v>
      </x:c>
      <x:c r="L664" s="48" t="n">
        <x:f>IF(COUNT(E664,G664)&lt;2,"",E664-G664)</x:f>
        <x:v>15.329999999999984</x:v>
      </x:c>
      <x:c r="M664" s="31" t="str">
        <x:v>网站结构化接口</x:v>
      </x:c>
      <x:c r="N664" s="36" t="d">
        <x:v>2026-10-28T14:16:22.777Z</x:v>
      </x:c>
    </x:row>
    <x:row r="665">
      <x:c r="A665" s="36" t="d">
        <x:v>2026-10-26T00:00:00.000Z</x:v>
      </x:c>
      <x:c r="B665" s="48" t="n">
        <x:v>346.07</x:v>
      </x:c>
      <x:c r="C665" s="48" t="n">
        <x:v>340.76</x:v>
      </x:c>
      <x:c r="D665" s="48" t="n">
        <x:v>360.29</x:v>
      </x:c>
      <x:c r="E665" s="48" t="n">
        <x:v>356.06</x:v>
      </x:c>
      <x:c r="F665" s="48" t="n">
        <x:v>288.15</x:v>
      </x:c>
      <x:c r="G665" s="48" t="n">
        <x:v>272.62</x:v>
      </x:c>
      <x:c r="H665" s="49" t="n">
        <x:v>1915703.34</x:v>
      </x:c>
      <x:c r="I665" s="49" t="n">
        <x:v>1877687.22</x:v>
      </x:c>
      <x:c r="J665" s="48" t="n">
        <x:f>IF(COUNT(B665:C665)&lt;2,"",B665-C665)</x:f>
        <x:v>5.310000000000002</x:v>
      </x:c>
      <x:c r="K665" s="48" t="n">
        <x:f>IF(COUNT(D665,F665)&lt;2,"",D665-F665)</x:f>
        <x:v>72.14000000000004</x:v>
      </x:c>
      <x:c r="L665" s="48" t="n">
        <x:f>IF(COUNT(E665,G665)&lt;2,"",E665-G665)</x:f>
        <x:v>83.44</x:v>
      </x:c>
      <x:c r="M665" s="31" t="str">
        <x:v>网站结构化接口</x:v>
      </x:c>
      <x:c r="N665" s="36" t="d">
        <x:v>2026-10-28T14:16:22.777Z</x:v>
      </x:c>
    </x:row>
    <x:row r="666">
      <x:c r="A666" s="36" t="d">
        <x:v>2026-10-27T00:00:00.000Z</x:v>
      </x:c>
      <x:c r="B666" s="48" t="n">
        <x:v>329.33</x:v>
      </x:c>
      <x:c r="C666" s="48" t="n">
        <x:v>304.06</x:v>
      </x:c>
      <x:c r="D666" s="48" t="n">
        <x:v>350.43</x:v>
      </x:c>
      <x:c r="E666" s="48" t="n">
        <x:v>338.51</x:v>
      </x:c>
      <x:c r="F666" s="48" t="n">
        <x:v>235.91</x:v>
      </x:c>
      <x:c r="G666" s="48" t="n">
        <x:v>175.24</x:v>
      </x:c>
      <x:c r="H666" s="49" t="n">
        <x:v>1890939.78</x:v>
      </x:c>
      <x:c r="I666" s="49" t="n">
        <x:v>1839814.91</x:v>
      </x:c>
      <x:c r="J666" s="48" t="n">
        <x:f>IF(COUNT(B666:C666)&lt;2,"",B666-C666)</x:f>
        <x:v>25.269999999999982</x:v>
      </x:c>
      <x:c r="K666" s="48" t="n">
        <x:f>IF(COUNT(D666,F666)&lt;2,"",D666-F666)</x:f>
        <x:v>114.52000000000001</x:v>
      </x:c>
      <x:c r="L666" s="48" t="n">
        <x:f>IF(COUNT(E666,G666)&lt;2,"",E666-G666)</x:f>
        <x:v>163.26999999999998</x:v>
      </x:c>
      <x:c r="M666" s="31" t="str">
        <x:v>网站结构化接口</x:v>
      </x:c>
      <x:c r="N666" s="36" t="d">
        <x:v>2026-10-28T14:16:22.777Z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6" hidden="0" customWidth="1"/>
    <x:col min="19" max="19" width="14" hidden="0" customWidth="1"/>
    <x:col min="20" max="20" width="55" hidden="0" customWidth="1"/>
  </x:cols>
  <x:sheetData>
    <x:row r="1" ht="30" customHeight="1">
      <x:c r="A1" s="41" t="str">
        <x:v>日期</x:v>
      </x:c>
      <x:c r="B1" s="41" t="str">
        <x:v>风电日前加权均价</x:v>
      </x:c>
      <x:c r="C1" s="41" t="str">
        <x:v>光伏日前加权均价</x:v>
      </x:c>
      <x:c r="D1" s="41" t="str">
        <x:v>风电实时加权均价</x:v>
      </x:c>
      <x:c r="E1" s="41" t="str">
        <x:v>光伏实时加权均价</x:v>
      </x:c>
      <x:c r="F1" s="41" t="str">
        <x:v>风电日前最高价</x:v>
      </x:c>
      <x:c r="G1" s="41" t="str">
        <x:v>风电日前最低价</x:v>
      </x:c>
      <x:c r="H1" s="41" t="str">
        <x:v>光伏日前最高价</x:v>
      </x:c>
      <x:c r="I1" s="41" t="str">
        <x:v>光伏日前最低价</x:v>
      </x:c>
      <x:c r="J1" s="41" t="str">
        <x:v>风电实时最高价</x:v>
      </x:c>
      <x:c r="K1" s="41" t="str">
        <x:v>风电实时最低价</x:v>
      </x:c>
      <x:c r="L1" s="41" t="str">
        <x:v>光伏实时最高价</x:v>
      </x:c>
      <x:c r="M1" s="41" t="str">
        <x:v>光伏实时最低价</x:v>
      </x:c>
      <x:c r="N1" s="41" t="str">
        <x:v>风电日前电量(亿kWh)</x:v>
      </x:c>
      <x:c r="O1" s="41" t="str">
        <x:v>光伏日前电量(亿kWh)</x:v>
      </x:c>
      <x:c r="P1" s="41" t="str">
        <x:v>风电实时电量(亿kWh)</x:v>
      </x:c>
      <x:c r="Q1" s="41" t="str">
        <x:v>光伏实时电量(亿kWh)</x:v>
      </x:c>
      <x:c r="R1" s="41" t="str">
        <x:v>识别状态</x:v>
      </x:c>
      <x:c r="S1" s="41" t="str">
        <x:v>最低OCR置信度</x:v>
      </x:c>
      <x:c r="T1" s="41" t="str">
        <x:v>公众号原文</x:v>
      </x:c>
    </x:row>
    <x:row r="2">
      <x:c r="A2" s="36" t="d">
        <x:v>2025-01-01T00:00:00.000Z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31" t="str">
        <x:v>未披露细分</x:v>
      </x:c>
      <x:c r="S2" s="51"/>
      <x:c r="T2" s="31"/>
    </x:row>
    <x:row r="3">
      <x:c r="A3" s="36" t="d">
        <x:v>2025-01-02T00:00:00.000Z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31" t="str">
        <x:v>未披露细分</x:v>
      </x:c>
      <x:c r="S3" s="51"/>
      <x:c r="T3" s="31"/>
    </x:row>
    <x:row r="4">
      <x:c r="A4" s="36" t="d">
        <x:v>2025-01-03T00:00:00.000Z</x:v>
      </x:c>
      <x:c r="B4" s="48"/>
      <x:c r="C4" s="48"/>
      <x:c r="D4" s="48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31" t="str">
        <x:v>未披露细分</x:v>
      </x:c>
      <x:c r="S4" s="51"/>
      <x:c r="T4" s="31"/>
    </x:row>
    <x:row r="5">
      <x:c r="A5" s="36" t="d">
        <x:v>2025-01-04T00:00:00.000Z</x:v>
      </x:c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31" t="str">
        <x:v>未披露细分</x:v>
      </x:c>
      <x:c r="S5" s="51"/>
      <x:c r="T5" s="31"/>
    </x:row>
    <x:row r="6">
      <x:c r="A6" s="36" t="d">
        <x:v>2025-01-05T00:00:00.000Z</x:v>
      </x:c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31" t="str">
        <x:v>未披露细分</x:v>
      </x:c>
      <x:c r="S6" s="51"/>
      <x:c r="T6" s="31"/>
    </x:row>
    <x:row r="7">
      <x:c r="A7" s="36" t="d">
        <x:v>2025-01-06T00:00:00.000Z</x:v>
      </x:c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31" t="str">
        <x:v>未披露细分</x:v>
      </x:c>
      <x:c r="S7" s="51"/>
      <x:c r="T7" s="31"/>
    </x:row>
    <x:row r="8">
      <x:c r="A8" s="36" t="d">
        <x:v>2025-01-07T00:00:00.000Z</x:v>
      </x:c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31" t="str">
        <x:v>未披露细分</x:v>
      </x:c>
      <x:c r="S8" s="51"/>
      <x:c r="T8" s="31"/>
    </x:row>
    <x:row r="9">
      <x:c r="A9" s="36" t="d">
        <x:v>2025-01-08T00:00:00.000Z</x:v>
      </x:c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31" t="str">
        <x:v>未披露细分</x:v>
      </x:c>
      <x:c r="S9" s="51"/>
      <x:c r="T9" s="31"/>
    </x:row>
    <x:row r="10">
      <x:c r="A10" s="36" t="d">
        <x:v>2025-01-09T00:00:00.000Z</x:v>
      </x:c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31" t="str">
        <x:v>未披露细分</x:v>
      </x:c>
      <x:c r="S10" s="51"/>
      <x:c r="T10" s="31"/>
    </x:row>
    <x:row r="11">
      <x:c r="A11" s="36" t="d">
        <x:v>2025-01-10T00:00:00.000Z</x:v>
      </x:c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31" t="str">
        <x:v>未披露细分</x:v>
      </x:c>
      <x:c r="S11" s="51"/>
      <x:c r="T11" s="31"/>
    </x:row>
    <x:row r="12">
      <x:c r="A12" s="36" t="d">
        <x:v>2025-01-11T00:00:00.000Z</x:v>
      </x:c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31" t="str">
        <x:v>未披露细分</x:v>
      </x:c>
      <x:c r="S12" s="51"/>
      <x:c r="T12" s="31"/>
    </x:row>
    <x:row r="13">
      <x:c r="A13" s="36" t="d">
        <x:v>2025-01-12T00:00:00.000Z</x:v>
      </x:c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31" t="str">
        <x:v>未披露细分</x:v>
      </x:c>
      <x:c r="S13" s="51"/>
      <x:c r="T13" s="31"/>
    </x:row>
    <x:row r="14">
      <x:c r="A14" s="36" t="d">
        <x:v>2025-01-13T00:00:00.000Z</x:v>
      </x:c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31" t="str">
        <x:v>未披露细分</x:v>
      </x:c>
      <x:c r="S14" s="51"/>
      <x:c r="T14" s="31"/>
    </x:row>
    <x:row r="15">
      <x:c r="A15" s="36" t="d">
        <x:v>2025-01-14T00:00:00.000Z</x:v>
      </x:c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31" t="str">
        <x:v>未披露细分</x:v>
      </x:c>
      <x:c r="S15" s="51"/>
      <x:c r="T15" s="31"/>
    </x:row>
    <x:row r="16">
      <x:c r="A16" s="36" t="d">
        <x:v>2025-01-15T00:00:00.000Z</x:v>
      </x:c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31" t="str">
        <x:v>未披露细分</x:v>
      </x:c>
      <x:c r="S16" s="51"/>
      <x:c r="T16" s="31"/>
    </x:row>
    <x:row r="17">
      <x:c r="A17" s="36" t="d">
        <x:v>2025-01-16T00:00:00.000Z</x:v>
      </x:c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31" t="str">
        <x:v>未披露细分</x:v>
      </x:c>
      <x:c r="S17" s="51"/>
      <x:c r="T17" s="31"/>
    </x:row>
    <x:row r="18">
      <x:c r="A18" s="36" t="d">
        <x:v>2025-01-17T00:00:00.000Z</x:v>
      </x:c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31" t="str">
        <x:v>未披露细分</x:v>
      </x:c>
      <x:c r="S18" s="51"/>
      <x:c r="T18" s="31"/>
    </x:row>
    <x:row r="19">
      <x:c r="A19" s="36" t="d">
        <x:v>2025-01-18T00:00:00.000Z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31" t="str">
        <x:v>未披露细分</x:v>
      </x:c>
      <x:c r="S19" s="51"/>
      <x:c r="T19" s="31"/>
    </x:row>
    <x:row r="20">
      <x:c r="A20" s="36" t="d">
        <x:v>2025-01-19T00:00:00.000Z</x:v>
      </x:c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31" t="str">
        <x:v>未披露细分</x:v>
      </x:c>
      <x:c r="S20" s="51"/>
      <x:c r="T20" s="31"/>
    </x:row>
    <x:row r="21">
      <x:c r="A21" s="36" t="d">
        <x:v>2025-01-20T00:00:00.000Z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31" t="str">
        <x:v>未披露细分</x:v>
      </x:c>
      <x:c r="S21" s="51"/>
      <x:c r="T21" s="31"/>
    </x:row>
    <x:row r="22">
      <x:c r="A22" s="36" t="d">
        <x:v>2025-01-21T00:00:00.000Z</x:v>
      </x:c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31" t="str">
        <x:v>未披露细分</x:v>
      </x:c>
      <x:c r="S22" s="51"/>
      <x:c r="T22" s="31"/>
    </x:row>
    <x:row r="23">
      <x:c r="A23" s="36" t="d">
        <x:v>2025-01-22T00:00:00.000Z</x:v>
      </x:c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31" t="str">
        <x:v>未披露细分</x:v>
      </x:c>
      <x:c r="S23" s="51"/>
      <x:c r="T23" s="31"/>
    </x:row>
    <x:row r="24">
      <x:c r="A24" s="36" t="d">
        <x:v>2025-01-23T00:00:00.000Z</x:v>
      </x:c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31" t="str">
        <x:v>未披露细分</x:v>
      </x:c>
      <x:c r="S24" s="51"/>
      <x:c r="T24" s="31"/>
    </x:row>
    <x:row r="25">
      <x:c r="A25" s="36" t="d">
        <x:v>2025-01-24T00:00:00.000Z</x:v>
      </x:c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31" t="str">
        <x:v>未披露细分</x:v>
      </x:c>
      <x:c r="S25" s="51"/>
      <x:c r="T25" s="31"/>
    </x:row>
    <x:row r="26">
      <x:c r="A26" s="36" t="d">
        <x:v>2025-01-25T00:00:00.000Z</x:v>
      </x:c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31" t="str">
        <x:v>未披露细分</x:v>
      </x:c>
      <x:c r="S26" s="51"/>
      <x:c r="T26" s="31"/>
    </x:row>
    <x:row r="27">
      <x:c r="A27" s="36" t="d">
        <x:v>2025-01-26T00:00:00.000Z</x:v>
      </x:c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31" t="str">
        <x:v>未披露细分</x:v>
      </x:c>
      <x:c r="S27" s="51"/>
      <x:c r="T27" s="31"/>
    </x:row>
    <x:row r="28">
      <x:c r="A28" s="36" t="d">
        <x:v>2025-01-27T00:00:00.000Z</x:v>
      </x:c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31" t="str">
        <x:v>未披露细分</x:v>
      </x:c>
      <x:c r="S28" s="51"/>
      <x:c r="T28" s="31"/>
    </x:row>
    <x:row r="29">
      <x:c r="A29" s="36" t="d">
        <x:v>2025-01-28T00:00:00.000Z</x:v>
      </x:c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31" t="str">
        <x:v>未披露细分</x:v>
      </x:c>
      <x:c r="S29" s="51"/>
      <x:c r="T29" s="31"/>
    </x:row>
    <x:row r="30">
      <x:c r="A30" s="36" t="d">
        <x:v>2025-01-29T00:00:00.000Z</x:v>
      </x:c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31" t="str">
        <x:v>未披露细分</x:v>
      </x:c>
      <x:c r="S30" s="51"/>
      <x:c r="T30" s="31"/>
    </x:row>
    <x:row r="31">
      <x:c r="A31" s="36" t="d">
        <x:v>2025-01-30T00:00:00.000Z</x:v>
      </x:c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31" t="str">
        <x:v>未披露细分</x:v>
      </x:c>
      <x:c r="S31" s="51"/>
      <x:c r="T31" s="31"/>
    </x:row>
    <x:row r="32">
      <x:c r="A32" s="36" t="d">
        <x:v>2025-01-31T00:00:00.000Z</x:v>
      </x:c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31" t="str">
        <x:v>未披露细分</x:v>
      </x:c>
      <x:c r="S32" s="51"/>
      <x:c r="T32" s="31"/>
    </x:row>
    <x:row r="33">
      <x:c r="A33" s="36" t="d">
        <x:v>2025-02-01T00:00:00.000Z</x:v>
      </x:c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31" t="str">
        <x:v>未披露细分</x:v>
      </x:c>
      <x:c r="S33" s="51"/>
      <x:c r="T33" s="31"/>
    </x:row>
    <x:row r="34">
      <x:c r="A34" s="36" t="d">
        <x:v>2025-02-02T00:00:00.000Z</x:v>
      </x:c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31" t="str">
        <x:v>未披露细分</x:v>
      </x:c>
      <x:c r="S34" s="51"/>
      <x:c r="T34" s="31"/>
    </x:row>
    <x:row r="35">
      <x:c r="A35" s="36" t="d">
        <x:v>2025-02-03T00:00:00.000Z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31" t="str">
        <x:v>未披露细分</x:v>
      </x:c>
      <x:c r="S35" s="51"/>
      <x:c r="T35" s="31"/>
    </x:row>
    <x:row r="36">
      <x:c r="A36" s="36" t="d">
        <x:v>2025-02-04T00:00:00.000Z</x:v>
      </x:c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31" t="str">
        <x:v>未披露细分</x:v>
      </x:c>
      <x:c r="S36" s="51"/>
      <x:c r="T36" s="31"/>
    </x:row>
    <x:row r="37">
      <x:c r="A37" s="36" t="d">
        <x:v>2025-02-05T00:00:00.000Z</x:v>
      </x:c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31" t="str">
        <x:v>未披露细分</x:v>
      </x:c>
      <x:c r="S37" s="51"/>
      <x:c r="T37" s="31"/>
    </x:row>
    <x:row r="38">
      <x:c r="A38" s="36" t="d">
        <x:v>2025-02-06T00:00:00.000Z</x:v>
      </x:c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31" t="str">
        <x:v>未披露细分</x:v>
      </x:c>
      <x:c r="S38" s="51"/>
      <x:c r="T38" s="31"/>
    </x:row>
    <x:row r="39">
      <x:c r="A39" s="36" t="d">
        <x:v>2025-02-07T00:00:00.000Z</x:v>
      </x:c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31" t="str">
        <x:v>未披露细分</x:v>
      </x:c>
      <x:c r="S39" s="51"/>
      <x:c r="T39" s="31"/>
    </x:row>
    <x:row r="40">
      <x:c r="A40" s="36" t="d">
        <x:v>2025-02-08T00:00:00.000Z</x:v>
      </x:c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31" t="str">
        <x:v>未披露细分</x:v>
      </x:c>
      <x:c r="S40" s="51"/>
      <x:c r="T40" s="31"/>
    </x:row>
    <x:row r="41">
      <x:c r="A41" s="36" t="d">
        <x:v>2025-02-09T00:00:00.000Z</x:v>
      </x:c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31" t="str">
        <x:v>未披露细分</x:v>
      </x:c>
      <x:c r="S41" s="51"/>
      <x:c r="T41" s="31"/>
    </x:row>
    <x:row r="42">
      <x:c r="A42" s="36" t="d">
        <x:v>2025-02-10T00:00:00.000Z</x:v>
      </x:c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31" t="str">
        <x:v>未披露细分</x:v>
      </x:c>
      <x:c r="S42" s="51"/>
      <x:c r="T42" s="31"/>
    </x:row>
    <x:row r="43">
      <x:c r="A43" s="36" t="d">
        <x:v>2025-02-11T00:00:00.000Z</x:v>
      </x:c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31" t="str">
        <x:v>未披露细分</x:v>
      </x:c>
      <x:c r="S43" s="51"/>
      <x:c r="T43" s="31"/>
    </x:row>
    <x:row r="44">
      <x:c r="A44" s="36" t="d">
        <x:v>2025-02-12T00:00:00.000Z</x:v>
      </x:c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31" t="str">
        <x:v>未披露细分</x:v>
      </x:c>
      <x:c r="S44" s="51"/>
      <x:c r="T44" s="31"/>
    </x:row>
    <x:row r="45">
      <x:c r="A45" s="36" t="d">
        <x:v>2025-02-13T00:00:00.000Z</x:v>
      </x:c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31" t="str">
        <x:v>未披露细分</x:v>
      </x:c>
      <x:c r="S45" s="51"/>
      <x:c r="T45" s="31"/>
    </x:row>
    <x:row r="46">
      <x:c r="A46" s="36" t="d">
        <x:v>2025-02-14T00:00:00.000Z</x:v>
      </x:c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31" t="str">
        <x:v>未披露细分</x:v>
      </x:c>
      <x:c r="S46" s="51"/>
      <x:c r="T46" s="31"/>
    </x:row>
    <x:row r="47">
      <x:c r="A47" s="36" t="d">
        <x:v>2025-02-15T00:00:00.000Z</x:v>
      </x:c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31" t="str">
        <x:v>未披露细分</x:v>
      </x:c>
      <x:c r="S47" s="51"/>
      <x:c r="T47" s="31"/>
    </x:row>
    <x:row r="48">
      <x:c r="A48" s="36" t="d">
        <x:v>2025-02-16T00:00:00.000Z</x:v>
      </x:c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31" t="str">
        <x:v>未披露细分</x:v>
      </x:c>
      <x:c r="S48" s="51"/>
      <x:c r="T48" s="31"/>
    </x:row>
    <x:row r="49">
      <x:c r="A49" s="36" t="d">
        <x:v>2025-02-17T00:00:00.000Z</x:v>
      </x:c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31" t="str">
        <x:v>未披露细分</x:v>
      </x:c>
      <x:c r="S49" s="51"/>
      <x:c r="T49" s="31"/>
    </x:row>
    <x:row r="50">
      <x:c r="A50" s="36" t="d">
        <x:v>2025-02-18T00:00:00.000Z</x:v>
      </x:c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31" t="str">
        <x:v>未披露细分</x:v>
      </x:c>
      <x:c r="S50" s="51"/>
      <x:c r="T50" s="31"/>
    </x:row>
    <x:row r="51">
      <x:c r="A51" s="36" t="d">
        <x:v>2025-02-19T00:00:00.000Z</x:v>
      </x:c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31" t="str">
        <x:v>未披露细分</x:v>
      </x:c>
      <x:c r="S51" s="51"/>
      <x:c r="T51" s="31"/>
    </x:row>
    <x:row r="52">
      <x:c r="A52" s="36" t="d">
        <x:v>2025-02-20T00:00:00.000Z</x:v>
      </x:c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31" t="str">
        <x:v>未披露细分</x:v>
      </x:c>
      <x:c r="S52" s="51"/>
      <x:c r="T52" s="31"/>
    </x:row>
    <x:row r="53">
      <x:c r="A53" s="36" t="d">
        <x:v>2025-02-21T00:00:00.000Z</x:v>
      </x:c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31" t="str">
        <x:v>未披露细分</x:v>
      </x:c>
      <x:c r="S53" s="51"/>
      <x:c r="T53" s="31"/>
    </x:row>
    <x:row r="54">
      <x:c r="A54" s="36" t="d">
        <x:v>2025-02-22T00:00:00.000Z</x:v>
      </x:c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31" t="str">
        <x:v>未披露细分</x:v>
      </x:c>
      <x:c r="S54" s="51"/>
      <x:c r="T54" s="31"/>
    </x:row>
    <x:row r="55">
      <x:c r="A55" s="36" t="d">
        <x:v>2025-02-23T00:00:00.000Z</x:v>
      </x:c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31" t="str">
        <x:v>未披露细分</x:v>
      </x:c>
      <x:c r="S55" s="51"/>
      <x:c r="T55" s="31"/>
    </x:row>
    <x:row r="56">
      <x:c r="A56" s="36" t="d">
        <x:v>2025-02-24T00:00:00.000Z</x:v>
      </x:c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31" t="str">
        <x:v>未披露细分</x:v>
      </x:c>
      <x:c r="S56" s="51"/>
      <x:c r="T56" s="31"/>
    </x:row>
    <x:row r="57">
      <x:c r="A57" s="36" t="d">
        <x:v>2025-02-25T00:00:00.000Z</x:v>
      </x:c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31" t="str">
        <x:v>未披露细分</x:v>
      </x:c>
      <x:c r="S57" s="51"/>
      <x:c r="T57" s="31"/>
    </x:row>
    <x:row r="58">
      <x:c r="A58" s="36" t="d">
        <x:v>2025-02-26T00:00:00.000Z</x:v>
      </x:c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31" t="str">
        <x:v>未披露细分</x:v>
      </x:c>
      <x:c r="S58" s="51"/>
      <x:c r="T58" s="31"/>
    </x:row>
    <x:row r="59">
      <x:c r="A59" s="36" t="d">
        <x:v>2025-02-27T00:00:00.000Z</x:v>
      </x:c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31" t="str">
        <x:v>未披露细分</x:v>
      </x:c>
      <x:c r="S59" s="51"/>
      <x:c r="T59" s="31"/>
    </x:row>
    <x:row r="60">
      <x:c r="A60" s="36" t="d">
        <x:v>2025-02-28T00:00:00.000Z</x:v>
      </x:c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31" t="str">
        <x:v>未披露细分</x:v>
      </x:c>
      <x:c r="S60" s="51"/>
      <x:c r="T60" s="31"/>
    </x:row>
    <x:row r="61">
      <x:c r="A61" s="36" t="d">
        <x:v>2025-03-01T00:00:00.000Z</x:v>
      </x:c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31" t="str">
        <x:v>未披露细分</x:v>
      </x:c>
      <x:c r="S61" s="51"/>
      <x:c r="T61" s="31"/>
    </x:row>
    <x:row r="62">
      <x:c r="A62" s="36" t="d">
        <x:v>2025-03-02T00:00:00.000Z</x:v>
      </x:c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31" t="str">
        <x:v>未披露细分</x:v>
      </x:c>
      <x:c r="S62" s="51"/>
      <x:c r="T62" s="31"/>
    </x:row>
    <x:row r="63">
      <x:c r="A63" s="36" t="d">
        <x:v>2025-03-03T00:00:00.000Z</x:v>
      </x:c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31" t="str">
        <x:v>未披露细分</x:v>
      </x:c>
      <x:c r="S63" s="51"/>
      <x:c r="T63" s="31"/>
    </x:row>
    <x:row r="64">
      <x:c r="A64" s="36" t="d">
        <x:v>2025-03-04T00:00:00.000Z</x:v>
      </x:c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31" t="str">
        <x:v>未披露细分</x:v>
      </x:c>
      <x:c r="S64" s="51"/>
      <x:c r="T64" s="31"/>
    </x:row>
    <x:row r="65">
      <x:c r="A65" s="36" t="d">
        <x:v>2025-03-05T00:00:00.000Z</x:v>
      </x:c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31" t="str">
        <x:v>未披露细分</x:v>
      </x:c>
      <x:c r="S65" s="51"/>
      <x:c r="T65" s="31"/>
    </x:row>
    <x:row r="66">
      <x:c r="A66" s="36" t="d">
        <x:v>2025-03-06T00:00:00.000Z</x:v>
      </x:c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31" t="str">
        <x:v>未披露细分</x:v>
      </x:c>
      <x:c r="S66" s="51"/>
      <x:c r="T66" s="31"/>
    </x:row>
    <x:row r="67">
      <x:c r="A67" s="36" t="d">
        <x:v>2025-03-07T00:00:00.000Z</x:v>
      </x:c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31" t="str">
        <x:v>未披露细分</x:v>
      </x:c>
      <x:c r="S67" s="51"/>
      <x:c r="T67" s="31"/>
    </x:row>
    <x:row r="68">
      <x:c r="A68" s="36" t="d">
        <x:v>2025-03-08T00:00:00.000Z</x:v>
      </x:c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31" t="str">
        <x:v>未披露细分</x:v>
      </x:c>
      <x:c r="S68" s="51"/>
      <x:c r="T68" s="31"/>
    </x:row>
    <x:row r="69">
      <x:c r="A69" s="36" t="d">
        <x:v>2025-03-09T00:00:00.000Z</x:v>
      </x:c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31" t="str">
        <x:v>未披露细分</x:v>
      </x:c>
      <x:c r="S69" s="51"/>
      <x:c r="T69" s="31"/>
    </x:row>
    <x:row r="70">
      <x:c r="A70" s="36" t="d">
        <x:v>2025-03-10T00:00:00.000Z</x:v>
      </x:c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31" t="str">
        <x:v>未披露细分</x:v>
      </x:c>
      <x:c r="S70" s="51"/>
      <x:c r="T70" s="31"/>
    </x:row>
    <x:row r="71">
      <x:c r="A71" s="36" t="d">
        <x:v>2025-03-11T00:00:00.000Z</x:v>
      </x:c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31" t="str">
        <x:v>未披露细分</x:v>
      </x:c>
      <x:c r="S71" s="51"/>
      <x:c r="T71" s="31"/>
    </x:row>
    <x:row r="72">
      <x:c r="A72" s="36" t="d">
        <x:v>2025-03-12T00:00:00.000Z</x:v>
      </x:c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31" t="str">
        <x:v>未披露细分</x:v>
      </x:c>
      <x:c r="S72" s="51"/>
      <x:c r="T72" s="31"/>
    </x:row>
    <x:row r="73">
      <x:c r="A73" s="36" t="d">
        <x:v>2025-03-13T00:00:00.000Z</x:v>
      </x:c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31" t="str">
        <x:v>未披露细分</x:v>
      </x:c>
      <x:c r="S73" s="51"/>
      <x:c r="T73" s="31"/>
    </x:row>
    <x:row r="74">
      <x:c r="A74" s="36" t="d">
        <x:v>2025-03-14T00:00:00.000Z</x:v>
      </x:c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31" t="str">
        <x:v>未披露细分</x:v>
      </x:c>
      <x:c r="S74" s="51"/>
      <x:c r="T74" s="31"/>
    </x:row>
    <x:row r="75">
      <x:c r="A75" s="36" t="d">
        <x:v>2025-03-15T00:00:00.000Z</x:v>
      </x:c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31" t="str">
        <x:v>未披露细分</x:v>
      </x:c>
      <x:c r="S75" s="51"/>
      <x:c r="T75" s="31"/>
    </x:row>
    <x:row r="76">
      <x:c r="A76" s="36" t="d">
        <x:v>2025-03-16T00:00:00.000Z</x:v>
      </x:c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31" t="str">
        <x:v>未披露细分</x:v>
      </x:c>
      <x:c r="S76" s="51"/>
      <x:c r="T76" s="31"/>
    </x:row>
    <x:row r="77">
      <x:c r="A77" s="36" t="d">
        <x:v>2025-03-17T00:00:00.000Z</x:v>
      </x:c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31" t="str">
        <x:v>未披露细分</x:v>
      </x:c>
      <x:c r="S77" s="51"/>
      <x:c r="T77" s="31"/>
    </x:row>
    <x:row r="78">
      <x:c r="A78" s="36" t="d">
        <x:v>2025-03-18T00:00:00.000Z</x:v>
      </x:c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31" t="str">
        <x:v>未披露细分</x:v>
      </x:c>
      <x:c r="S78" s="51"/>
      <x:c r="T78" s="31"/>
    </x:row>
    <x:row r="79">
      <x:c r="A79" s="36" t="d">
        <x:v>2025-03-19T00:00:00.000Z</x:v>
      </x:c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31" t="str">
        <x:v>未披露细分</x:v>
      </x:c>
      <x:c r="S79" s="51"/>
      <x:c r="T79" s="31"/>
    </x:row>
    <x:row r="80">
      <x:c r="A80" s="36" t="d">
        <x:v>2025-03-20T00:00:00.000Z</x:v>
      </x:c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31" t="str">
        <x:v>未披露细分</x:v>
      </x:c>
      <x:c r="S80" s="51"/>
      <x:c r="T80" s="31"/>
    </x:row>
    <x:row r="81">
      <x:c r="A81" s="36" t="d">
        <x:v>2025-03-21T00:00:00.000Z</x:v>
      </x:c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31" t="str">
        <x:v>未披露细分</x:v>
      </x:c>
      <x:c r="S81" s="51"/>
      <x:c r="T81" s="31"/>
    </x:row>
    <x:row r="82">
      <x:c r="A82" s="36" t="d">
        <x:v>2025-03-22T00:00:00.000Z</x:v>
      </x:c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31" t="str">
        <x:v>未披露细分</x:v>
      </x:c>
      <x:c r="S82" s="51"/>
      <x:c r="T82" s="31"/>
    </x:row>
    <x:row r="83">
      <x:c r="A83" s="36" t="d">
        <x:v>2025-03-23T00:00:00.000Z</x:v>
      </x:c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31" t="str">
        <x:v>未披露细分</x:v>
      </x:c>
      <x:c r="S83" s="51"/>
      <x:c r="T83" s="31"/>
    </x:row>
    <x:row r="84">
      <x:c r="A84" s="36" t="d">
        <x:v>2025-03-24T00:00:00.000Z</x:v>
      </x:c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31" t="str">
        <x:v>未披露细分</x:v>
      </x:c>
      <x:c r="S84" s="51"/>
      <x:c r="T84" s="31"/>
    </x:row>
    <x:row r="85">
      <x:c r="A85" s="36" t="d">
        <x:v>2025-03-25T00:00:00.000Z</x:v>
      </x:c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31" t="str">
        <x:v>未披露细分</x:v>
      </x:c>
      <x:c r="S85" s="51"/>
      <x:c r="T85" s="31"/>
    </x:row>
    <x:row r="86">
      <x:c r="A86" s="36" t="d">
        <x:v>2025-03-26T00:00:00.000Z</x:v>
      </x:c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31" t="str">
        <x:v>未披露细分</x:v>
      </x:c>
      <x:c r="S86" s="51"/>
      <x:c r="T86" s="31"/>
    </x:row>
    <x:row r="87">
      <x:c r="A87" s="36" t="d">
        <x:v>2025-03-27T00:00:00.000Z</x:v>
      </x:c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31" t="str">
        <x:v>未披露细分</x:v>
      </x:c>
      <x:c r="S87" s="51"/>
      <x:c r="T87" s="31"/>
    </x:row>
    <x:row r="88">
      <x:c r="A88" s="36" t="d">
        <x:v>2025-03-28T00:00:00.000Z</x:v>
      </x:c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31" t="str">
        <x:v>未披露细分</x:v>
      </x:c>
      <x:c r="S88" s="51"/>
      <x:c r="T88" s="31"/>
    </x:row>
    <x:row r="89">
      <x:c r="A89" s="36" t="d">
        <x:v>2025-03-29T00:00:00.000Z</x:v>
      </x:c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31" t="str">
        <x:v>未披露细分</x:v>
      </x:c>
      <x:c r="S89" s="51"/>
      <x:c r="T89" s="31"/>
    </x:row>
    <x:row r="90">
      <x:c r="A90" s="36" t="d">
        <x:v>2025-03-30T00:00:00.000Z</x:v>
      </x:c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31" t="str">
        <x:v>未披露细分</x:v>
      </x:c>
      <x:c r="S90" s="51"/>
      <x:c r="T90" s="31"/>
    </x:row>
    <x:row r="91">
      <x:c r="A91" s="36" t="d">
        <x:v>2025-03-31T00:00:00.000Z</x:v>
      </x:c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31" t="str">
        <x:v>未披露细分</x:v>
      </x:c>
      <x:c r="S91" s="51"/>
      <x:c r="T91" s="31"/>
    </x:row>
    <x:row r="92">
      <x:c r="A92" s="36" t="d">
        <x:v>2025-04-01T00:00:00.000Z</x:v>
      </x:c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31" t="str">
        <x:v>未披露细分</x:v>
      </x:c>
      <x:c r="S92" s="51"/>
      <x:c r="T92" s="31"/>
    </x:row>
    <x:row r="93">
      <x:c r="A93" s="36" t="d">
        <x:v>2025-04-02T00:00:00.000Z</x:v>
      </x:c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31" t="str">
        <x:v>未披露细分</x:v>
      </x:c>
      <x:c r="S93" s="51"/>
      <x:c r="T93" s="31"/>
    </x:row>
    <x:row r="94">
      <x:c r="A94" s="36" t="d">
        <x:v>2025-04-03T00:00:00.000Z</x:v>
      </x:c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31" t="str">
        <x:v>未披露细分</x:v>
      </x:c>
      <x:c r="S94" s="51"/>
      <x:c r="T94" s="31"/>
    </x:row>
    <x:row r="95">
      <x:c r="A95" s="36" t="d">
        <x:v>2025-04-04T00:00:00.000Z</x:v>
      </x:c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31" t="str">
        <x:v>未披露细分</x:v>
      </x:c>
      <x:c r="S95" s="51"/>
      <x:c r="T95" s="31"/>
    </x:row>
    <x:row r="96">
      <x:c r="A96" s="36" t="d">
        <x:v>2025-04-05T00:00:00.000Z</x:v>
      </x:c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31" t="str">
        <x:v>未披露细分</x:v>
      </x:c>
      <x:c r="S96" s="51"/>
      <x:c r="T96" s="31"/>
    </x:row>
    <x:row r="97">
      <x:c r="A97" s="36" t="d">
        <x:v>2025-04-06T00:00:00.000Z</x:v>
      </x:c>
      <x:c r="B97" s="48" t="n">
        <x:v>301.89</x:v>
      </x:c>
      <x:c r="C97" s="48" t="n">
        <x:v>54.29</x:v>
      </x:c>
      <x:c r="D97" s="48" t="n">
        <x:v>217.01</x:v>
      </x:c>
      <x:c r="E97" s="48" t="n">
        <x:v>60.57</x:v>
      </x:c>
      <x:c r="F97" s="48" t="n">
        <x:v>1000</x:v>
      </x:c>
      <x:c r="G97" s="48" t="n">
        <x:v>40</x:v>
      </x:c>
      <x:c r="H97" s="48" t="n">
        <x:v>1000</x:v>
      </x:c>
      <x:c r="I97" s="48" t="n">
        <x:v>40</x:v>
      </x:c>
      <x:c r="J97" s="48" t="n">
        <x:v>1000</x:v>
      </x:c>
      <x:c r="K97" s="48" t="n">
        <x:v>40</x:v>
      </x:c>
      <x:c r="L97" s="48" t="n">
        <x:v>1000</x:v>
      </x:c>
      <x:c r="M97" s="48" t="n">
        <x:v>40</x:v>
      </x:c>
      <x:c r="N97" s="48"/>
      <x:c r="O97" s="48"/>
      <x:c r="P97" s="48"/>
      <x:c r="Q97" s="48"/>
      <x:c r="R97" s="31" t="str">
        <x:v>ok</x:v>
      </x:c>
      <x:c r="S97" s="51" t="n">
        <x:v>0.9795998334884644</x:v>
      </x:c>
      <x:c r="T97" s="31" t="str">
        <x:v>https://mp.weixin.qq.com/s?__biz=MzUxOTMxNjk0OQ==&amp;mid=2247501507&amp;idx=1&amp;sn=675ec3820c91fa52610405c681af8887&amp;chksm=f9f9f279ce8e7b6f5c41317f3ebe9091c2207b07d3b439bef2c27afa2fc6ccbf9f8c700526a4#rd</x:v>
      </x:c>
    </x:row>
    <x:row r="98">
      <x:c r="A98" s="36" t="d">
        <x:v>2025-04-07T00:00:00.000Z</x:v>
      </x:c>
      <x:c r="B98" s="48" t="n">
        <x:v>327.11</x:v>
      </x:c>
      <x:c r="C98" s="48" t="n">
        <x:v>60.91</x:v>
      </x:c>
      <x:c r="D98" s="48" t="n">
        <x:v>436.25</x:v>
      </x:c>
      <x:c r="E98" s="48" t="n">
        <x:v>85.43</x:v>
      </x:c>
      <x:c r="F98" s="48" t="n">
        <x:v>1000</x:v>
      </x:c>
      <x:c r="G98" s="48" t="n">
        <x:v>40</x:v>
      </x:c>
      <x:c r="H98" s="48" t="n">
        <x:v>1000</x:v>
      </x:c>
      <x:c r="I98" s="48" t="n">
        <x:v>40</x:v>
      </x:c>
      <x:c r="J98" s="48" t="n">
        <x:v>1000</x:v>
      </x:c>
      <x:c r="K98" s="48" t="n">
        <x:v>40</x:v>
      </x:c>
      <x:c r="L98" s="48" t="n">
        <x:v>1000</x:v>
      </x:c>
      <x:c r="M98" s="48" t="n">
        <x:v>40</x:v>
      </x:c>
      <x:c r="N98" s="48"/>
      <x:c r="O98" s="48"/>
      <x:c r="P98" s="48"/>
      <x:c r="Q98" s="48"/>
      <x:c r="R98" s="31" t="str">
        <x:v>ok</x:v>
      </x:c>
      <x:c r="S98" s="51" t="n">
        <x:v>0.9999309778213501</x:v>
      </x:c>
      <x:c r="T98" s="31" t="str">
        <x:v>https://mp.weixin.qq.com/s?__biz=MzUxOTMxNjk0OQ==&amp;mid=2247501514&amp;idx=2&amp;sn=caa73606d35f6739921fe22139474d20&amp;chksm=f9f9f270ce8e7b665b693563bffc6f31531fada699cd60c5b6934fc2693fcb8e10193d4030fe#rd</x:v>
      </x:c>
    </x:row>
    <x:row r="99">
      <x:c r="A99" s="36" t="d">
        <x:v>2025-04-08T00:00:00.000Z</x:v>
      </x:c>
      <x:c r="B99" s="48" t="n">
        <x:v>171.26</x:v>
      </x:c>
      <x:c r="C99" s="48" t="n">
        <x:v>52.56</x:v>
      </x:c>
      <x:c r="D99" s="48" t="n">
        <x:v>228.26</x:v>
      </x:c>
      <x:c r="E99" s="48" t="n">
        <x:v>96.48</x:v>
      </x:c>
      <x:c r="F99" s="48" t="n">
        <x:v>1000</x:v>
      </x:c>
      <x:c r="G99" s="48" t="n">
        <x:v>40</x:v>
      </x:c>
      <x:c r="H99" s="48" t="n">
        <x:v>1000</x:v>
      </x:c>
      <x:c r="I99" s="48" t="n">
        <x:v>40</x:v>
      </x:c>
      <x:c r="J99" s="48" t="n">
        <x:v>1000</x:v>
      </x:c>
      <x:c r="K99" s="48" t="n">
        <x:v>40</x:v>
      </x:c>
      <x:c r="L99" s="48" t="n">
        <x:v>1000</x:v>
      </x:c>
      <x:c r="M99" s="48" t="n">
        <x:v>40</x:v>
      </x:c>
      <x:c r="N99" s="48"/>
      <x:c r="O99" s="48"/>
      <x:c r="P99" s="48"/>
      <x:c r="Q99" s="48"/>
      <x:c r="R99" s="31" t="str">
        <x:v>ok</x:v>
      </x:c>
      <x:c r="S99" s="51" t="n">
        <x:v>0.9999556541442871</x:v>
      </x:c>
      <x:c r="T99" s="31" t="str">
        <x:v>https://mp.weixin.qq.com/s?__biz=MzUxOTMxNjk0OQ==&amp;mid=2247501518&amp;idx=1&amp;sn=953c1c79e2b5359efedb740c8ea6f660&amp;chksm=f9f9f274ce8e7b626b6331274a1357462dccd217c03cdd6744507d4fa88b0c091e2d696e1d6a#rd</x:v>
      </x:c>
    </x:row>
    <x:row r="100">
      <x:c r="A100" s="36" t="d">
        <x:v>2025-04-09T00:00:00.000Z</x:v>
      </x:c>
      <x:c r="B100" s="48" t="n">
        <x:v>111.28</x:v>
      </x:c>
      <x:c r="C100" s="48" t="n">
        <x:v>52.92</x:v>
      </x:c>
      <x:c r="D100" s="48" t="n">
        <x:v>116.94</x:v>
      </x:c>
      <x:c r="E100" s="48" t="n">
        <x:v>61.51</x:v>
      </x:c>
      <x:c r="F100" s="48" t="n">
        <x:v>769.03</x:v>
      </x:c>
      <x:c r="G100" s="48" t="n">
        <x:v>40</x:v>
      </x:c>
      <x:c r="H100" s="48" t="n">
        <x:v>700</x:v>
      </x:c>
      <x:c r="I100" s="48" t="n">
        <x:v>40</x:v>
      </x:c>
      <x:c r="J100" s="48" t="n">
        <x:v>860.58</x:v>
      </x:c>
      <x:c r="K100" s="48" t="n">
        <x:v>40</x:v>
      </x:c>
      <x:c r="L100" s="48" t="n">
        <x:v>860.58</x:v>
      </x:c>
      <x:c r="M100" s="48" t="n">
        <x:v>40</x:v>
      </x:c>
      <x:c r="N100" s="48"/>
      <x:c r="O100" s="48"/>
      <x:c r="P100" s="48"/>
      <x:c r="Q100" s="48"/>
      <x:c r="R100" s="31" t="str">
        <x:v>ok</x:v>
      </x:c>
      <x:c r="S100" s="51" t="n">
        <x:v>0.9834864735603333</x:v>
      </x:c>
      <x:c r="T100" s="31" t="str">
        <x:v>https://mp.weixin.qq.com/s?__biz=MzUxOTMxNjk0OQ==&amp;mid=2247501549&amp;idx=1&amp;sn=2b08599d89f9603c997c1a16031bbec7&amp;chksm=f9f9f257ce8e7b41019cddf6cadcbcf99a0c1f9d33dc7ddddd834757506b7252a10d2885d5d8#rd</x:v>
      </x:c>
    </x:row>
    <x:row r="101">
      <x:c r="A101" s="36" t="d">
        <x:v>2025-04-10T00:00:00.000Z</x:v>
      </x:c>
      <x:c r="B101" s="48" t="n">
        <x:v>96.81</x:v>
      </x:c>
      <x:c r="C101" s="48" t="n">
        <x:v>61.05</x:v>
      </x:c>
      <x:c r="D101" s="48" t="n">
        <x:v>149.19</x:v>
      </x:c>
      <x:c r="E101" s="48" t="n">
        <x:v>72.72</x:v>
      </x:c>
      <x:c r="F101" s="48" t="n">
        <x:v>1000</x:v>
      </x:c>
      <x:c r="G101" s="48" t="n">
        <x:v>40</x:v>
      </x:c>
      <x:c r="H101" s="48" t="n">
        <x:v>1000</x:v>
      </x:c>
      <x:c r="I101" s="48" t="n">
        <x:v>40</x:v>
      </x:c>
      <x:c r="J101" s="48" t="n">
        <x:v>1000</x:v>
      </x:c>
      <x:c r="K101" s="48" t="n">
        <x:v>40</x:v>
      </x:c>
      <x:c r="L101" s="48" t="n">
        <x:v>1000</x:v>
      </x:c>
      <x:c r="M101" s="48" t="n">
        <x:v>40</x:v>
      </x:c>
      <x:c r="N101" s="48"/>
      <x:c r="O101" s="48"/>
      <x:c r="P101" s="48"/>
      <x:c r="Q101" s="48"/>
      <x:c r="R101" s="31" t="str">
        <x:v>ok</x:v>
      </x:c>
      <x:c r="S101" s="51" t="n">
        <x:v>0.9484278559684753</x:v>
      </x:c>
      <x:c r="T101" s="31" t="str">
        <x:v>https://mp.weixin.qq.com/s?__biz=MzUxOTMxNjk0OQ==&amp;mid=2247501553&amp;idx=1&amp;sn=1bdc4347ce58591dbecdc2036838ba27&amp;chksm=f9f9f24bce8e7b5d8a5784f686c32815accd235c48ff36de88623e95582c4974097d96d5d880#rd</x:v>
      </x:c>
    </x:row>
    <x:row r="102">
      <x:c r="A102" s="36" t="d">
        <x:v>2025-04-11T00:00:00.000Z</x:v>
      </x:c>
      <x:c r="B102" s="48" t="n">
        <x:v>82.9</x:v>
      </x:c>
      <x:c r="C102" s="48" t="n">
        <x:v>69.65</x:v>
      </x:c>
      <x:c r="D102" s="48" t="n">
        <x:v>105.04</x:v>
      </x:c>
      <x:c r="E102" s="48" t="n">
        <x:v>130.54</x:v>
      </x:c>
      <x:c r="F102" s="48" t="n">
        <x:v>550</x:v>
      </x:c>
      <x:c r="G102" s="48" t="n">
        <x:v>40</x:v>
      </x:c>
      <x:c r="H102" s="48" t="n">
        <x:v>550</x:v>
      </x:c>
      <x:c r="I102" s="48" t="n">
        <x:v>40</x:v>
      </x:c>
      <x:c r="J102" s="48" t="n">
        <x:v>550</x:v>
      </x:c>
      <x:c r="K102" s="48" t="n">
        <x:v>40</x:v>
      </x:c>
      <x:c r="L102" s="48" t="n">
        <x:v>550</x:v>
      </x:c>
      <x:c r="M102" s="48" t="n">
        <x:v>40</x:v>
      </x:c>
      <x:c r="N102" s="48"/>
      <x:c r="O102" s="48"/>
      <x:c r="P102" s="48"/>
      <x:c r="Q102" s="48"/>
      <x:c r="R102" s="31" t="str">
        <x:v>ok</x:v>
      </x:c>
      <x:c r="S102" s="51" t="n">
        <x:v>0.9999974370002747</x:v>
      </x:c>
      <x:c r="T102" s="31" t="str">
        <x:v>https://mp.weixin.qq.com/s?__biz=MzUxOTMxNjk0OQ==&amp;mid=2247501557&amp;idx=1&amp;sn=87355ba191c9d5cb2342828134317162&amp;chksm=f9f9f24fce8e7b5911da05b47ab341edfb8ae03052ad8bda82de68ed2df97d8a9de742013d6a#rd</x:v>
      </x:c>
    </x:row>
    <x:row r="103">
      <x:c r="A103" s="36" t="d">
        <x:v>2025-04-12T00:00:00.000Z</x:v>
      </x:c>
      <x:c r="B103" s="48" t="n">
        <x:v>85.14</x:v>
      </x:c>
      <x:c r="C103" s="48" t="n">
        <x:v>49.51</x:v>
      </x:c>
      <x:c r="D103" s="48" t="n">
        <x:v>85.15</x:v>
      </x:c>
      <x:c r="E103" s="48" t="n">
        <x:v>53.95</x:v>
      </x:c>
      <x:c r="F103" s="48" t="n">
        <x:v>425</x:v>
      </x:c>
      <x:c r="G103" s="48" t="n">
        <x:v>40</x:v>
      </x:c>
      <x:c r="H103" s="48" t="n">
        <x:v>425</x:v>
      </x:c>
      <x:c r="I103" s="48" t="n">
        <x:v>40</x:v>
      </x:c>
      <x:c r="J103" s="48" t="n">
        <x:v>1000</x:v>
      </x:c>
      <x:c r="K103" s="48" t="n">
        <x:v>40</x:v>
      </x:c>
      <x:c r="L103" s="48" t="n">
        <x:v>1000</x:v>
      </x:c>
      <x:c r="M103" s="48" t="n">
        <x:v>40</x:v>
      </x:c>
      <x:c r="N103" s="48"/>
      <x:c r="O103" s="48"/>
      <x:c r="P103" s="48"/>
      <x:c r="Q103" s="48"/>
      <x:c r="R103" s="31" t="str">
        <x:v>ok</x:v>
      </x:c>
      <x:c r="S103" s="51" t="n">
        <x:v>0.9999797344207764</x:v>
      </x:c>
      <x:c r="T103" s="31" t="str">
        <x:v>https://mp.weixin.qq.com/s?__biz=MzUxOTMxNjk0OQ==&amp;mid=2247501561&amp;idx=1&amp;sn=f3643450f37b2270fb66d3431e0d87a5&amp;chksm=f9f9f243ce8e7b5595e24962f7adfbafb15503740ce8171ea5953c35071bb20bb5ff3e865e7a#rd</x:v>
      </x:c>
    </x:row>
    <x:row r="104">
      <x:c r="A104" s="36" t="d">
        <x:v>2025-04-13T00:00:00.000Z</x:v>
      </x:c>
      <x:c r="B104" s="48" t="n">
        <x:v>62.47</x:v>
      </x:c>
      <x:c r="C104" s="48" t="n">
        <x:v>42.75</x:v>
      </x:c>
      <x:c r="D104" s="48" t="n">
        <x:v>74.54</x:v>
      </x:c>
      <x:c r="E104" s="48" t="n">
        <x:v>43.03</x:v>
      </x:c>
      <x:c r="F104" s="48" t="n">
        <x:v>425</x:v>
      </x:c>
      <x:c r="G104" s="48" t="n">
        <x:v>40</x:v>
      </x:c>
      <x:c r="H104" s="48" t="n">
        <x:v>425</x:v>
      </x:c>
      <x:c r="I104" s="48" t="n">
        <x:v>40</x:v>
      </x:c>
      <x:c r="J104" s="48" t="n">
        <x:v>382</x:v>
      </x:c>
      <x:c r="K104" s="48" t="n">
        <x:v>40</x:v>
      </x:c>
      <x:c r="L104" s="48" t="n">
        <x:v>382</x:v>
      </x:c>
      <x:c r="M104" s="48" t="n">
        <x:v>40</x:v>
      </x:c>
      <x:c r="N104" s="48"/>
      <x:c r="O104" s="48"/>
      <x:c r="P104" s="48"/>
      <x:c r="Q104" s="48"/>
      <x:c r="R104" s="31" t="str">
        <x:v>ok</x:v>
      </x:c>
      <x:c r="S104" s="51" t="n">
        <x:v>0.999995231628418</x:v>
      </x:c>
      <x:c r="T104" s="31" t="str">
        <x:v>https://mp.weixin.qq.com/s?__biz=MzUxOTMxNjk0OQ==&amp;mid=2247501573&amp;idx=1&amp;sn=a9e35aa3b5908516af052532de92465f&amp;chksm=f9f9f3bfce8e7aa9eccdfe450ee5a8b0e13ed3bdbe9a6b65e56e4216c3d781e76a01a3db4674#rd</x:v>
      </x:c>
    </x:row>
    <x:row r="105">
      <x:c r="A105" s="36" t="d">
        <x:v>2025-04-14T00:00:00.000Z</x:v>
      </x:c>
      <x:c r="B105" s="48" t="n">
        <x:v>89.33</x:v>
      </x:c>
      <x:c r="C105" s="48" t="n">
        <x:v>52.5</x:v>
      </x:c>
      <x:c r="D105" s="48" t="n">
        <x:v>131.09</x:v>
      </x:c>
      <x:c r="E105" s="48" t="n">
        <x:v>67.05</x:v>
      </x:c>
      <x:c r="F105" s="48" t="n">
        <x:v>1000</x:v>
      </x:c>
      <x:c r="G105" s="48" t="n">
        <x:v>40</x:v>
      </x:c>
      <x:c r="H105" s="48" t="n">
        <x:v>1000</x:v>
      </x:c>
      <x:c r="I105" s="48" t="n">
        <x:v>40</x:v>
      </x:c>
      <x:c r="J105" s="48" t="n">
        <x:v>1000</x:v>
      </x:c>
      <x:c r="K105" s="48" t="n">
        <x:v>40</x:v>
      </x:c>
      <x:c r="L105" s="48" t="n">
        <x:v>1000</x:v>
      </x:c>
      <x:c r="M105" s="48" t="n">
        <x:v>40</x:v>
      </x:c>
      <x:c r="N105" s="48"/>
      <x:c r="O105" s="48"/>
      <x:c r="P105" s="48"/>
      <x:c r="Q105" s="48"/>
      <x:c r="R105" s="31" t="str">
        <x:v>ok</x:v>
      </x:c>
      <x:c r="S105" s="51" t="n">
        <x:v>0.9999570250511169</x:v>
      </x:c>
      <x:c r="T105" s="31" t="str">
        <x:v>https://mp.weixin.qq.com/s?__biz=MzUxOTMxNjk0OQ==&amp;mid=2247501585&amp;idx=3&amp;sn=8a0c2dadf65bb3c99a0751a312949554&amp;chksm=f9f9f3abce8e7abd895703335d8d3fc9edf003553a472d2e4f2973bbaf9b13f02d767519d0ac#rd</x:v>
      </x:c>
    </x:row>
    <x:row r="106">
      <x:c r="A106" s="36" t="d">
        <x:v>2025-04-15T00:00:00.000Z</x:v>
      </x:c>
      <x:c r="B106" s="48" t="n">
        <x:v>108.98</x:v>
      </x:c>
      <x:c r="C106" s="48" t="n">
        <x:v>54.35</x:v>
      </x:c>
      <x:c r="D106" s="48" t="n">
        <x:v>145.99</x:v>
      </x:c>
      <x:c r="E106" s="48" t="n">
        <x:v>74.99</x:v>
      </x:c>
      <x:c r="F106" s="48" t="n">
        <x:v>488</x:v>
      </x:c>
      <x:c r="G106" s="48" t="n">
        <x:v>40</x:v>
      </x:c>
      <x:c r="H106" s="48" t="n">
        <x:v>488</x:v>
      </x:c>
      <x:c r="I106" s="48" t="n">
        <x:v>40</x:v>
      </x:c>
      <x:c r="J106" s="48" t="n">
        <x:v>1000</x:v>
      </x:c>
      <x:c r="K106" s="48" t="n">
        <x:v>40</x:v>
      </x:c>
      <x:c r="L106" s="48" t="n">
        <x:v>1000</x:v>
      </x:c>
      <x:c r="M106" s="48" t="n">
        <x:v>40</x:v>
      </x:c>
      <x:c r="N106" s="48"/>
      <x:c r="O106" s="48"/>
      <x:c r="P106" s="48"/>
      <x:c r="Q106" s="48"/>
      <x:c r="R106" s="31" t="str">
        <x:v>ok</x:v>
      </x:c>
      <x:c r="S106" s="51" t="n">
        <x:v>0.9999570250511169</x:v>
      </x:c>
      <x:c r="T106" s="31" t="str">
        <x:v>https://mp.weixin.qq.com/s?__biz=MzUxOTMxNjk0OQ==&amp;mid=2247501593&amp;idx=3&amp;sn=79c130314d231efef2c3439454c1ac86&amp;chksm=f9f9f3a3ce8e7ab5170273ca29307bf73789792d5335ee6c84e856a335b3907686c58c2363bd#rd</x:v>
      </x:c>
    </x:row>
    <x:row r="107">
      <x:c r="A107" s="36" t="d">
        <x:v>2025-04-16T00:00:00.000Z</x:v>
      </x:c>
      <x:c r="B107" s="48" t="n">
        <x:v>71.95</x:v>
      </x:c>
      <x:c r="C107" s="48" t="n">
        <x:v>72.04</x:v>
      </x:c>
      <x:c r="D107" s="48" t="n">
        <x:v>139.81</x:v>
      </x:c>
      <x:c r="E107" s="48" t="n">
        <x:v>92.88</x:v>
      </x:c>
      <x:c r="F107" s="48" t="n">
        <x:v>600</x:v>
      </x:c>
      <x:c r="G107" s="48" t="n">
        <x:v>40</x:v>
      </x:c>
      <x:c r="H107" s="48" t="n">
        <x:v>600</x:v>
      </x:c>
      <x:c r="I107" s="48" t="n">
        <x:v>40</x:v>
      </x:c>
      <x:c r="J107" s="48" t="n">
        <x:v>600</x:v>
      </x:c>
      <x:c r="K107" s="48" t="n">
        <x:v>40</x:v>
      </x:c>
      <x:c r="L107" s="48" t="n">
        <x:v>600</x:v>
      </x:c>
      <x:c r="M107" s="48" t="n">
        <x:v>40</x:v>
      </x:c>
      <x:c r="N107" s="48"/>
      <x:c r="O107" s="48"/>
      <x:c r="P107" s="48"/>
      <x:c r="Q107" s="48"/>
      <x:c r="R107" s="31" t="str">
        <x:v>ok</x:v>
      </x:c>
      <x:c r="S107" s="51" t="n">
        <x:v>0.9872463345527649</x:v>
      </x:c>
      <x:c r="T107" s="31" t="str">
        <x:v>https://mp.weixin.qq.com/s?__biz=MzUxOTMxNjk0OQ==&amp;mid=2247501601&amp;idx=1&amp;sn=6ee6128b9a06175b7102fec1b1830410&amp;chksm=f9f9f39bce8e7a8d6a0bd9990fecd71ac0d6183ccd5e1444df73a83ef070815347fe39af0582#rd</x:v>
      </x:c>
    </x:row>
    <x:row r="108">
      <x:c r="A108" s="36" t="d">
        <x:v>2025-04-17T00:00:00.000Z</x:v>
      </x:c>
      <x:c r="B108" s="48" t="n">
        <x:v>193.47</x:v>
      </x:c>
      <x:c r="C108" s="48" t="n">
        <x:v>59.53</x:v>
      </x:c>
      <x:c r="D108" s="48" t="n">
        <x:v>176.49</x:v>
      </x:c>
      <x:c r="E108" s="48" t="n">
        <x:v>94.77</x:v>
      </x:c>
      <x:c r="F108" s="48" t="n">
        <x:v>419</x:v>
      </x:c>
      <x:c r="G108" s="48" t="n">
        <x:v>40</x:v>
      </x:c>
      <x:c r="H108" s="48" t="n">
        <x:v>419</x:v>
      </x:c>
      <x:c r="I108" s="48" t="n">
        <x:v>40</x:v>
      </x:c>
      <x:c r="J108" s="48" t="n">
        <x:v>600</x:v>
      </x:c>
      <x:c r="K108" s="48" t="n">
        <x:v>40</x:v>
      </x:c>
      <x:c r="L108" s="48" t="n">
        <x:v>600</x:v>
      </x:c>
      <x:c r="M108" s="48" t="n">
        <x:v>40</x:v>
      </x:c>
      <x:c r="N108" s="48"/>
      <x:c r="O108" s="48"/>
      <x:c r="P108" s="48"/>
      <x:c r="Q108" s="48"/>
      <x:c r="R108" s="31" t="str">
        <x:v>ok</x:v>
      </x:c>
      <x:c r="S108" s="51" t="n">
        <x:v>0.9999959468841553</x:v>
      </x:c>
      <x:c r="T108" s="31" t="str">
        <x:v>https://mp.weixin.qq.com/s?__biz=MzUxOTMxNjk0OQ==&amp;mid=2247501603&amp;idx=1&amp;sn=13fd5311bcc8b1f27b058d05926a5cfa&amp;chksm=f9f9f399ce8e7a8f3bbbb03d482712b5ac7cb57ddd057330a6f2264a0561b0fbd04cde6c8cd2#rd</x:v>
      </x:c>
    </x:row>
    <x:row r="109">
      <x:c r="A109" s="36" t="d">
        <x:v>2025-04-18T00:00:00.000Z</x:v>
      </x:c>
      <x:c r="B109" s="48" t="n">
        <x:v>215.32</x:v>
      </x:c>
      <x:c r="C109" s="48" t="n">
        <x:v>61.93</x:v>
      </x:c>
      <x:c r="D109" s="48" t="n">
        <x:v>185.02</x:v>
      </x:c>
      <x:c r="E109" s="48" t="n">
        <x:v>178.9</x:v>
      </x:c>
      <x:c r="F109" s="48" t="n">
        <x:v>394</x:v>
      </x:c>
      <x:c r="G109" s="48" t="n">
        <x:v>40</x:v>
      </x:c>
      <x:c r="H109" s="48" t="n">
        <x:v>394</x:v>
      </x:c>
      <x:c r="I109" s="48" t="n">
        <x:v>40</x:v>
      </x:c>
      <x:c r="J109" s="48" t="n">
        <x:v>600</x:v>
      </x:c>
      <x:c r="K109" s="48" t="n">
        <x:v>40</x:v>
      </x:c>
      <x:c r="L109" s="48" t="n">
        <x:v>600</x:v>
      </x:c>
      <x:c r="M109" s="48" t="n">
        <x:v>40</x:v>
      </x:c>
      <x:c r="N109" s="48"/>
      <x:c r="O109" s="48"/>
      <x:c r="P109" s="48"/>
      <x:c r="Q109" s="48"/>
      <x:c r="R109" s="31" t="str">
        <x:v>ok</x:v>
      </x:c>
      <x:c r="S109" s="51" t="n">
        <x:v>0.9999966621398926</x:v>
      </x:c>
      <x:c r="T109" s="31" t="str">
        <x:v>https://mp.weixin.qq.com/s?__biz=MzUxOTMxNjk0OQ==&amp;mid=2247501605&amp;idx=1&amp;sn=a1e477992e99cf9a98802b9030a2646d&amp;chksm=f9f9f39fce8e7a8970dd1b7ea4b3738bf7eac1d42a653d297747919052b0b9bcb796b1908583#rd</x:v>
      </x:c>
    </x:row>
    <x:row r="110">
      <x:c r="A110" s="36" t="d">
        <x:v>2025-04-19T00:00:00.000Z</x:v>
      </x:c>
      <x:c r="B110" s="48" t="n">
        <x:v>241.14</x:v>
      </x:c>
      <x:c r="C110" s="48" t="n">
        <x:v>53.78</x:v>
      </x:c>
      <x:c r="D110" s="48" t="n">
        <x:v>196.09</x:v>
      </x:c>
      <x:c r="E110" s="48" t="n">
        <x:v>89.3</x:v>
      </x:c>
      <x:c r="F110" s="48" t="n">
        <x:v>600</x:v>
      </x:c>
      <x:c r="G110" s="48" t="n">
        <x:v>40</x:v>
      </x:c>
      <x:c r="H110" s="48" t="n">
        <x:v>600</x:v>
      </x:c>
      <x:c r="I110" s="48" t="n">
        <x:v>40</x:v>
      </x:c>
      <x:c r="J110" s="48" t="n">
        <x:v>600</x:v>
      </x:c>
      <x:c r="K110" s="48" t="n">
        <x:v>40</x:v>
      </x:c>
      <x:c r="L110" s="48" t="n">
        <x:v>600</x:v>
      </x:c>
      <x:c r="M110" s="48" t="n">
        <x:v>40</x:v>
      </x:c>
      <x:c r="N110" s="48"/>
      <x:c r="O110" s="48"/>
      <x:c r="P110" s="48"/>
      <x:c r="Q110" s="48"/>
      <x:c r="R110" s="31" t="str">
        <x:v>ok</x:v>
      </x:c>
      <x:c r="S110" s="51" t="n">
        <x:v>0.9999957084655762</x:v>
      </x:c>
      <x:c r="T110" s="31" t="str">
        <x:v>https://mp.weixin.qq.com/s?__biz=MzUxOTMxNjk0OQ==&amp;mid=2247501613&amp;idx=1&amp;sn=8e955793b220704364e6dc956271aef2&amp;chksm=f9f9f397ce8e7a81611562124868f60f4c7781436b2c9b9af7e5683950f25396fd50a4847178#rd</x:v>
      </x:c>
    </x:row>
    <x:row r="111">
      <x:c r="A111" s="36" t="d">
        <x:v>2025-04-20T00:00:00.000Z</x:v>
      </x:c>
      <x:c r="B111" s="48" t="n">
        <x:v>78.31</x:v>
      </x:c>
      <x:c r="C111" s="48" t="n">
        <x:v>55.8</x:v>
      </x:c>
      <x:c r="D111" s="48" t="n">
        <x:v>80.71</x:v>
      </x:c>
      <x:c r="E111" s="48" t="n">
        <x:v>54.39</x:v>
      </x:c>
      <x:c r="F111" s="48" t="n">
        <x:v>600</x:v>
      </x:c>
      <x:c r="G111" s="48" t="n">
        <x:v>40</x:v>
      </x:c>
      <x:c r="H111" s="48" t="n">
        <x:v>600</x:v>
      </x:c>
      <x:c r="I111" s="48" t="n">
        <x:v>40</x:v>
      </x:c>
      <x:c r="J111" s="48" t="n">
        <x:v>600</x:v>
      </x:c>
      <x:c r="K111" s="48" t="n">
        <x:v>40</x:v>
      </x:c>
      <x:c r="L111" s="48" t="n">
        <x:v>600</x:v>
      </x:c>
      <x:c r="M111" s="48" t="n">
        <x:v>40</x:v>
      </x:c>
      <x:c r="N111" s="48"/>
      <x:c r="O111" s="48"/>
      <x:c r="P111" s="48"/>
      <x:c r="Q111" s="48"/>
      <x:c r="R111" s="31" t="str">
        <x:v>ok</x:v>
      </x:c>
      <x:c r="S111" s="51" t="n">
        <x:v>0.9893691539764404</x:v>
      </x:c>
      <x:c r="T111" s="31" t="str">
        <x:v>https://mp.weixin.qq.com/s?__biz=MzUxOTMxNjk0OQ==&amp;mid=2247501625&amp;idx=2&amp;sn=abdb73432a2ae1c524c6898f111ed788&amp;chksm=f9f9f383ce8e7a95732ae45d118f685285639ef95fed25b01ffb5e93ddb5727eacb84c896b3e#rd</x:v>
      </x:c>
    </x:row>
    <x:row r="112">
      <x:c r="A112" s="36" t="d">
        <x:v>2025-04-21T00:00:00.000Z</x:v>
      </x:c>
      <x:c r="B112" s="48" t="n">
        <x:v>117.56</x:v>
      </x:c>
      <x:c r="C112" s="48" t="n">
        <x:v>183.14</x:v>
      </x:c>
      <x:c r="D112" s="48" t="n">
        <x:v>104.16</x:v>
      </x:c>
      <x:c r="E112" s="48" t="n">
        <x:v>110.4</x:v>
      </x:c>
      <x:c r="F112" s="48" t="n">
        <x:v>600</x:v>
      </x:c>
      <x:c r="G112" s="48" t="n">
        <x:v>40</x:v>
      </x:c>
      <x:c r="H112" s="48" t="n">
        <x:v>600</x:v>
      </x:c>
      <x:c r="I112" s="48" t="n">
        <x:v>40</x:v>
      </x:c>
      <x:c r="J112" s="48" t="n">
        <x:v>600</x:v>
      </x:c>
      <x:c r="K112" s="48" t="n">
        <x:v>40</x:v>
      </x:c>
      <x:c r="L112" s="48" t="n">
        <x:v>600</x:v>
      </x:c>
      <x:c r="M112" s="48" t="n">
        <x:v>40</x:v>
      </x:c>
      <x:c r="N112" s="48"/>
      <x:c r="O112" s="48"/>
      <x:c r="P112" s="48"/>
      <x:c r="Q112" s="48"/>
      <x:c r="R112" s="31" t="str">
        <x:v>ok</x:v>
      </x:c>
      <x:c r="S112" s="51" t="n">
        <x:v>0.9981522560119629</x:v>
      </x:c>
      <x:c r="T112" s="31" t="str">
        <x:v>https://mp.weixin.qq.com/s?__biz=MzUxOTMxNjk0OQ==&amp;mid=2247501627&amp;idx=1&amp;sn=2da8b9ad617b4db4e96f6f598571ef68&amp;chksm=f9f9f381ce8e7a97858303db9cbb100000d19fe2be22720c10f8cb27915c4395d8736675f629#rd</x:v>
      </x:c>
    </x:row>
    <x:row r="113">
      <x:c r="A113" s="36" t="d">
        <x:v>2025-04-22T00:00:00.000Z</x:v>
      </x:c>
      <x:c r="B113" s="48" t="n">
        <x:v>246.17</x:v>
      </x:c>
      <x:c r="C113" s="48" t="n">
        <x:v>81.67</x:v>
      </x:c>
      <x:c r="D113" s="48" t="n">
        <x:v>279.08</x:v>
      </x:c>
      <x:c r="E113" s="48" t="n">
        <x:v>128.26</x:v>
      </x:c>
      <x:c r="F113" s="48" t="n">
        <x:v>406</x:v>
      </x:c>
      <x:c r="G113" s="48" t="n">
        <x:v>40</x:v>
      </x:c>
      <x:c r="H113" s="48" t="n">
        <x:v>406</x:v>
      </x:c>
      <x:c r="I113" s="48" t="n">
        <x:v>40</x:v>
      </x:c>
      <x:c r="J113" s="48" t="n">
        <x:v>678</x:v>
      </x:c>
      <x:c r="K113" s="48" t="n">
        <x:v>40</x:v>
      </x:c>
      <x:c r="L113" s="48" t="n">
        <x:v>678</x:v>
      </x:c>
      <x:c r="M113" s="48" t="n">
        <x:v>40</x:v>
      </x:c>
      <x:c r="N113" s="48"/>
      <x:c r="O113" s="48"/>
      <x:c r="P113" s="48"/>
      <x:c r="Q113" s="48"/>
      <x:c r="R113" s="31" t="str">
        <x:v>ok</x:v>
      </x:c>
      <x:c r="S113" s="51" t="n">
        <x:v>0.9999973177909851</x:v>
      </x:c>
      <x:c r="T113" s="31" t="str">
        <x:v>https://mp.weixin.qq.com/s?__biz=MzUxOTMxNjk0OQ==&amp;mid=2247501638&amp;idx=1&amp;sn=6fc1c658f2927b628199f1ad1a355fb6&amp;chksm=f9f9f3fcce8e7aea31284dfeadf40baf87922ea0cc6173db6a148152d0cadd0bdcc5c14f64e0#rd</x:v>
      </x:c>
    </x:row>
    <x:row r="114">
      <x:c r="A114" s="36" t="d">
        <x:v>2025-04-23T00:00:00.000Z</x:v>
      </x:c>
      <x:c r="B114" s="48" t="n">
        <x:v>175.48</x:v>
      </x:c>
      <x:c r="C114" s="48" t="n">
        <x:v>54.67</x:v>
      </x:c>
      <x:c r="D114" s="48" t="n">
        <x:v>193.25</x:v>
      </x:c>
      <x:c r="E114" s="48" t="n">
        <x:v>62.94</x:v>
      </x:c>
      <x:c r="F114" s="48" t="n">
        <x:v>549</x:v>
      </x:c>
      <x:c r="G114" s="48" t="n">
        <x:v>40</x:v>
      </x:c>
      <x:c r="H114" s="48" t="n">
        <x:v>549</x:v>
      </x:c>
      <x:c r="I114" s="48" t="n">
        <x:v>40</x:v>
      </x:c>
      <x:c r="J114" s="48" t="n">
        <x:v>549</x:v>
      </x:c>
      <x:c r="K114" s="48" t="n">
        <x:v>40</x:v>
      </x:c>
      <x:c r="L114" s="48" t="n">
        <x:v>549</x:v>
      </x:c>
      <x:c r="M114" s="48" t="n">
        <x:v>40</x:v>
      </x:c>
      <x:c r="N114" s="48"/>
      <x:c r="O114" s="48"/>
      <x:c r="P114" s="48"/>
      <x:c r="Q114" s="48"/>
      <x:c r="R114" s="31" t="str">
        <x:v>ok</x:v>
      </x:c>
      <x:c r="S114" s="51" t="n">
        <x:v>0.9999973177909851</x:v>
      </x:c>
      <x:c r="T114" s="31" t="str">
        <x:v>https://mp.weixin.qq.com/s?__biz=MzUxOTMxNjk0OQ==&amp;mid=2247501650&amp;idx=2&amp;sn=4b324ea3d7327b132ff8ea4130e223b3&amp;chksm=f9f9f3e8ce8e7afeed60b8d76b9c11774785a8454f15276b390571b9f743ca3f6974a08cbd76#rd</x:v>
      </x:c>
    </x:row>
    <x:row r="115">
      <x:c r="A115" s="36" t="d">
        <x:v>2025-04-24T00:00:00.000Z</x:v>
      </x:c>
      <x:c r="B115" s="48" t="n">
        <x:v>230.95</x:v>
      </x:c>
      <x:c r="C115" s="48" t="n">
        <x:v>64.51</x:v>
      </x:c>
      <x:c r="D115" s="48" t="n">
        <x:v>225.68</x:v>
      </x:c>
      <x:c r="E115" s="48" t="n">
        <x:v>86.58</x:v>
      </x:c>
      <x:c r="F115" s="48" t="n">
        <x:v>450</x:v>
      </x:c>
      <x:c r="G115" s="48" t="n">
        <x:v>40</x:v>
      </x:c>
      <x:c r="H115" s="48" t="n">
        <x:v>450</x:v>
      </x:c>
      <x:c r="I115" s="48" t="n">
        <x:v>40</x:v>
      </x:c>
      <x:c r="J115" s="48" t="n">
        <x:v>450</x:v>
      </x:c>
      <x:c r="K115" s="48" t="n">
        <x:v>40</x:v>
      </x:c>
      <x:c r="L115" s="48" t="n">
        <x:v>450</x:v>
      </x:c>
      <x:c r="M115" s="48" t="n">
        <x:v>40</x:v>
      </x:c>
      <x:c r="N115" s="48"/>
      <x:c r="O115" s="48"/>
      <x:c r="P115" s="48"/>
      <x:c r="Q115" s="48"/>
      <x:c r="R115" s="31" t="str">
        <x:v>ok</x:v>
      </x:c>
      <x:c r="S115" s="51" t="n">
        <x:v>0.9999955892562866</x:v>
      </x:c>
      <x:c r="T115" s="31" t="str">
        <x:v>https://mp.weixin.qq.com/s?__biz=MzUxOTMxNjk0OQ==&amp;mid=2247501652&amp;idx=1&amp;sn=d2555aab83197edce074894b3d43e855&amp;chksm=f9f9f3eece8e7af892fa522a573d3002bb0909d65eb0280ac1815d74899f54eb23d0d23e3029#rd</x:v>
      </x:c>
    </x:row>
    <x:row r="116">
      <x:c r="A116" s="36" t="d">
        <x:v>2025-04-25T00:00:00.000Z</x:v>
      </x:c>
      <x:c r="B116" s="48" t="n">
        <x:v>190.42</x:v>
      </x:c>
      <x:c r="C116" s="48" t="n">
        <x:v>67.09</x:v>
      </x:c>
      <x:c r="D116" s="48" t="n">
        <x:v>181.55</x:v>
      </x:c>
      <x:c r="E116" s="48" t="n">
        <x:v>119.26</x:v>
      </x:c>
      <x:c r="F116" s="48" t="n">
        <x:v>1000</x:v>
      </x:c>
      <x:c r="G116" s="48" t="n">
        <x:v>40</x:v>
      </x:c>
      <x:c r="H116" s="48" t="n">
        <x:v>1000</x:v>
      </x:c>
      <x:c r="I116" s="48" t="n">
        <x:v>40</x:v>
      </x:c>
      <x:c r="J116" s="48" t="n">
        <x:v>1000</x:v>
      </x:c>
      <x:c r="K116" s="48" t="n">
        <x:v>40</x:v>
      </x:c>
      <x:c r="L116" s="48" t="n">
        <x:v>1000</x:v>
      </x:c>
      <x:c r="M116" s="48" t="n">
        <x:v>40</x:v>
      </x:c>
      <x:c r="N116" s="48"/>
      <x:c r="O116" s="48"/>
      <x:c r="P116" s="48"/>
      <x:c r="Q116" s="48"/>
      <x:c r="R116" s="31" t="str">
        <x:v>ok</x:v>
      </x:c>
      <x:c r="S116" s="51" t="n">
        <x:v>0.999954104423523</x:v>
      </x:c>
      <x:c r="T116" s="31" t="str">
        <x:v>https://mp.weixin.qq.com/s?__biz=MzUxOTMxNjk0OQ==&amp;mid=2247501654&amp;idx=1&amp;sn=c92ea9d619850c34fb057298f007c969&amp;chksm=f9f9f3ecce8e7afae60513e94ecec12c218669904bc76ec92b4a52d90b220856b4f581d1f94d#rd</x:v>
      </x:c>
    </x:row>
    <x:row r="117">
      <x:c r="A117" s="36" t="d">
        <x:v>2025-04-26T00:00:00.000Z</x:v>
      </x:c>
      <x:c r="B117" s="48" t="n">
        <x:v>175.02</x:v>
      </x:c>
      <x:c r="C117" s="48" t="n">
        <x:v>155.14</x:v>
      </x:c>
      <x:c r="D117" s="48" t="n">
        <x:v>250.55</x:v>
      </x:c>
      <x:c r="E117" s="48" t="n">
        <x:v>213.64</x:v>
      </x:c>
      <x:c r="F117" s="48" t="n">
        <x:v>1000</x:v>
      </x:c>
      <x:c r="G117" s="48" t="n">
        <x:v>40</x:v>
      </x:c>
      <x:c r="H117" s="48" t="n">
        <x:v>1000</x:v>
      </x:c>
      <x:c r="I117" s="48" t="n">
        <x:v>40</x:v>
      </x:c>
      <x:c r="J117" s="48" t="n">
        <x:v>1000</x:v>
      </x:c>
      <x:c r="K117" s="48" t="n">
        <x:v>40</x:v>
      </x:c>
      <x:c r="L117" s="48" t="n">
        <x:v>1000</x:v>
      </x:c>
      <x:c r="M117" s="48" t="n">
        <x:v>40</x:v>
      </x:c>
      <x:c r="N117" s="48"/>
      <x:c r="O117" s="48"/>
      <x:c r="P117" s="48"/>
      <x:c r="Q117" s="48"/>
      <x:c r="R117" s="31" t="str">
        <x:v>ok</x:v>
      </x:c>
      <x:c r="S117" s="51" t="n">
        <x:v>0.9999570250511169</x:v>
      </x:c>
      <x:c r="T117" s="31" t="str">
        <x:v>https://mp.weixin.qq.com/s?__biz=MzUxOTMxNjk0OQ==&amp;mid=2247501660&amp;idx=1&amp;sn=10bb1e1e786db24a28eea9da2c5c1745&amp;chksm=f9f9f3e6ce8e7af0894e1fa5bc990831772799324aaf4001321b5362c46e21f0c00f89542ffd#rd</x:v>
      </x:c>
    </x:row>
    <x:row r="118">
      <x:c r="A118" s="36" t="d">
        <x:v>2025-04-27T00:00:00.000Z</x:v>
      </x:c>
      <x:c r="B118" s="48" t="n">
        <x:v>116.86</x:v>
      </x:c>
      <x:c r="C118" s="48" t="n">
        <x:v>54.7</x:v>
      </x:c>
      <x:c r="D118" s="48" t="n">
        <x:v>144.69</x:v>
      </x:c>
      <x:c r="E118" s="48" t="n">
        <x:v>82.06</x:v>
      </x:c>
      <x:c r="F118" s="48" t="n">
        <x:v>600</x:v>
      </x:c>
      <x:c r="G118" s="48" t="n">
        <x:v>40</x:v>
      </x:c>
      <x:c r="H118" s="48" t="n">
        <x:v>600</x:v>
      </x:c>
      <x:c r="I118" s="48" t="n">
        <x:v>40</x:v>
      </x:c>
      <x:c r="J118" s="48" t="n">
        <x:v>600</x:v>
      </x:c>
      <x:c r="K118" s="48" t="n">
        <x:v>40</x:v>
      </x:c>
      <x:c r="L118" s="48" t="n">
        <x:v>600</x:v>
      </x:c>
      <x:c r="M118" s="48" t="n">
        <x:v>40</x:v>
      </x:c>
      <x:c r="N118" s="48"/>
      <x:c r="O118" s="48"/>
      <x:c r="P118" s="48"/>
      <x:c r="Q118" s="48"/>
      <x:c r="R118" s="31" t="str">
        <x:v>ok</x:v>
      </x:c>
      <x:c r="S118" s="51" t="n">
        <x:v>0.9999966621398926</x:v>
      </x:c>
      <x:c r="T118" s="31" t="str">
        <x:v>https://mp.weixin.qq.com/s?__biz=MzUxOTMxNjk0OQ==&amp;mid=2247501686&amp;idx=3&amp;sn=45a3c8d4a6e7698712a4397f8a00ffc7&amp;chksm=f9f9f3ccce8e7adaa32481811864f5e5d4cbdff83ffac7dff0e9a9a8f25708f9048ffaa3b4d3#rd</x:v>
      </x:c>
    </x:row>
    <x:row r="119">
      <x:c r="A119" s="36" t="d">
        <x:v>2025-04-28T00:00:00.000Z</x:v>
      </x:c>
      <x:c r="B119" s="48" t="n">
        <x:v>251.21</x:v>
      </x:c>
      <x:c r="C119" s="48" t="n">
        <x:v>61.07</x:v>
      </x:c>
      <x:c r="D119" s="48" t="n">
        <x:v>266.57</x:v>
      </x:c>
      <x:c r="E119" s="48" t="n">
        <x:v>55.59</x:v>
      </x:c>
      <x:c r="F119" s="48" t="n">
        <x:v>576</x:v>
      </x:c>
      <x:c r="G119" s="48" t="n">
        <x:v>40</x:v>
      </x:c>
      <x:c r="H119" s="48" t="n">
        <x:v>576</x:v>
      </x:c>
      <x:c r="I119" s="48" t="n">
        <x:v>40</x:v>
      </x:c>
      <x:c r="J119" s="48" t="n">
        <x:v>423</x:v>
      </x:c>
      <x:c r="K119" s="48" t="n">
        <x:v>40</x:v>
      </x:c>
      <x:c r="L119" s="48" t="n">
        <x:v>423</x:v>
      </x:c>
      <x:c r="M119" s="48" t="n">
        <x:v>40</x:v>
      </x:c>
      <x:c r="N119" s="48"/>
      <x:c r="O119" s="48"/>
      <x:c r="P119" s="48"/>
      <x:c r="Q119" s="48"/>
      <x:c r="R119" s="31" t="str">
        <x:v>ok</x:v>
      </x:c>
      <x:c r="S119" s="51" t="n">
        <x:v>0.999991774559021</x:v>
      </x:c>
      <x:c r="T119" s="31" t="str">
        <x:v>https://mp.weixin.qq.com/s?__biz=MzUxOTMxNjk0OQ==&amp;mid=2247501822&amp;idx=2&amp;sn=287cc03e81d8c9cb72d5d600f3a64771&amp;chksm=f9f9f344ce8e7a52277bf824e87be636f510434fa50ac05f15666709a2f2ba939093bf774846#rd</x:v>
      </x:c>
    </x:row>
    <x:row r="120">
      <x:c r="A120" s="36" t="d">
        <x:v>2025-04-29T00:00:00.000Z</x:v>
      </x:c>
      <x:c r="B120" s="48" t="n">
        <x:v>134.94</x:v>
      </x:c>
      <x:c r="C120" s="48" t="n">
        <x:v>52.49</x:v>
      </x:c>
      <x:c r="D120" s="48" t="n">
        <x:v>123.3</x:v>
      </x:c>
      <x:c r="E120" s="48" t="n">
        <x:v>50.59</x:v>
      </x:c>
      <x:c r="F120" s="48" t="n">
        <x:v>419</x:v>
      </x:c>
      <x:c r="G120" s="48" t="n">
        <x:v>40</x:v>
      </x:c>
      <x:c r="H120" s="48" t="n">
        <x:v>419</x:v>
      </x:c>
      <x:c r="I120" s="48" t="n">
        <x:v>40</x:v>
      </x:c>
      <x:c r="J120" s="48" t="n">
        <x:v>543</x:v>
      </x:c>
      <x:c r="K120" s="48" t="n">
        <x:v>40</x:v>
      </x:c>
      <x:c r="L120" s="48" t="n">
        <x:v>543</x:v>
      </x:c>
      <x:c r="M120" s="48" t="n">
        <x:v>40</x:v>
      </x:c>
      <x:c r="N120" s="48"/>
      <x:c r="O120" s="48"/>
      <x:c r="P120" s="48"/>
      <x:c r="Q120" s="48"/>
      <x:c r="R120" s="31" t="str">
        <x:v>ok</x:v>
      </x:c>
      <x:c r="S120" s="51" t="n">
        <x:v>0.9999964833259583</x:v>
      </x:c>
      <x:c r="T120" s="31" t="str">
        <x:v>https://mp.weixin.qq.com/s?__biz=MzUxOTMxNjk0OQ==&amp;mid=2247501914&amp;idx=2&amp;sn=3fe67ccec84169fde754e7425179fdf4&amp;chksm=f9f9fce0ce8e75f6959ec632928feab0ce2094396eebcfa433715d6bef7601793a4e5b9e8d16#rd</x:v>
      </x:c>
    </x:row>
    <x:row r="121">
      <x:c r="A121" s="36" t="d">
        <x:v>2025-04-30T00:00:00.000Z</x:v>
      </x:c>
      <x:c r="B121" s="48" t="n">
        <x:v>213.42</x:v>
      </x:c>
      <x:c r="C121" s="48" t="n">
        <x:v>52.8</x:v>
      </x:c>
      <x:c r="D121" s="48" t="n">
        <x:v>137.42</x:v>
      </x:c>
      <x:c r="E121" s="48" t="n">
        <x:v>62.64</x:v>
      </x:c>
      <x:c r="F121" s="48" t="n">
        <x:v>543</x:v>
      </x:c>
      <x:c r="G121" s="48" t="n">
        <x:v>40</x:v>
      </x:c>
      <x:c r="H121" s="48" t="n">
        <x:v>543</x:v>
      </x:c>
      <x:c r="I121" s="48" t="n">
        <x:v>40</x:v>
      </x:c>
      <x:c r="J121" s="48" t="n">
        <x:v>1000</x:v>
      </x:c>
      <x:c r="K121" s="48" t="n">
        <x:v>40</x:v>
      </x:c>
      <x:c r="L121" s="48" t="n">
        <x:v>1000</x:v>
      </x:c>
      <x:c r="M121" s="48" t="n">
        <x:v>40</x:v>
      </x:c>
      <x:c r="N121" s="48"/>
      <x:c r="O121" s="48"/>
      <x:c r="P121" s="48"/>
      <x:c r="Q121" s="48"/>
      <x:c r="R121" s="31" t="str">
        <x:v>ok</x:v>
      </x:c>
      <x:c r="S121" s="51" t="n">
        <x:v>0.9999533891677856</x:v>
      </x:c>
      <x:c r="T121" s="31" t="str">
        <x:v>https://mp.weixin.qq.com/s?__biz=MzUxOTMxNjk0OQ==&amp;mid=2247501924&amp;idx=1&amp;sn=e183b4612581ff6cdc785b07fdbb655b&amp;chksm=f9f9fcdece8e75c8d9aeffdae1e419475ebc5cd35846d41247e44933d6d01063f63d0fce0969#rd</x:v>
      </x:c>
    </x:row>
    <x:row r="122">
      <x:c r="A122" s="36" t="d">
        <x:v>2025-05-01T00:00:00.000Z</x:v>
      </x:c>
      <x:c r="B122" s="48" t="n">
        <x:v>196.59</x:v>
      </x:c>
      <x:c r="C122" s="48" t="n">
        <x:v>54.67</x:v>
      </x:c>
      <x:c r="D122" s="48" t="n">
        <x:v>182.3</x:v>
      </x:c>
      <x:c r="E122" s="48" t="n">
        <x:v>54.83</x:v>
      </x:c>
      <x:c r="F122" s="48" t="n">
        <x:v>395</x:v>
      </x:c>
      <x:c r="G122" s="48" t="n">
        <x:v>40</x:v>
      </x:c>
      <x:c r="H122" s="48" t="n">
        <x:v>395</x:v>
      </x:c>
      <x:c r="I122" s="48" t="n">
        <x:v>40</x:v>
      </x:c>
      <x:c r="J122" s="48" t="n">
        <x:v>500</x:v>
      </x:c>
      <x:c r="K122" s="48" t="n">
        <x:v>40</x:v>
      </x:c>
      <x:c r="L122" s="48" t="n">
        <x:v>500</x:v>
      </x:c>
      <x:c r="M122" s="48" t="n">
        <x:v>40</x:v>
      </x:c>
      <x:c r="N122" s="48"/>
      <x:c r="O122" s="48"/>
      <x:c r="P122" s="48"/>
      <x:c r="Q122" s="48"/>
      <x:c r="R122" s="31" t="str">
        <x:v>ok</x:v>
      </x:c>
      <x:c r="S122" s="51" t="n">
        <x:v>0.9924979209899902</x:v>
      </x:c>
      <x:c r="T122" s="31" t="str">
        <x:v>https://mp.weixin.qq.com/s?__biz=MzUxOTMxNjk0OQ==&amp;mid=2247501941&amp;idx=1&amp;sn=94a9c7e7ddc434f302abeaf9bc677eb4&amp;chksm=f9f9fccfce8e75d92a6e74a5c81d856a724a158072ef381b35a102c9968887d5e8968c5e9587#rd</x:v>
      </x:c>
    </x:row>
    <x:row r="123">
      <x:c r="A123" s="36" t="d">
        <x:v>2025-05-02T00:00:00.000Z</x:v>
      </x:c>
      <x:c r="B123" s="48" t="n">
        <x:v>381.7</x:v>
      </x:c>
      <x:c r="C123" s="48" t="n">
        <x:v>56.97</x:v>
      </x:c>
      <x:c r="D123" s="48" t="n">
        <x:v>335.06</x:v>
      </x:c>
      <x:c r="E123" s="48" t="n">
        <x:v>83.7</x:v>
      </x:c>
      <x:c r="F123" s="48" t="n">
        <x:v>1000</x:v>
      </x:c>
      <x:c r="G123" s="48" t="n">
        <x:v>40</x:v>
      </x:c>
      <x:c r="H123" s="48" t="n">
        <x:v>1000</x:v>
      </x:c>
      <x:c r="I123" s="48" t="n">
        <x:v>40</x:v>
      </x:c>
      <x:c r="J123" s="48" t="n">
        <x:v>1000</x:v>
      </x:c>
      <x:c r="K123" s="48" t="n">
        <x:v>40</x:v>
      </x:c>
      <x:c r="L123" s="48" t="n">
        <x:v>1000</x:v>
      </x:c>
      <x:c r="M123" s="48" t="n">
        <x:v>40</x:v>
      </x:c>
      <x:c r="N123" s="48"/>
      <x:c r="O123" s="48"/>
      <x:c r="P123" s="48"/>
      <x:c r="Q123" s="48"/>
      <x:c r="R123" s="31" t="str">
        <x:v>ok</x:v>
      </x:c>
      <x:c r="S123" s="51" t="n">
        <x:v>0.9999778866767883</x:v>
      </x:c>
      <x:c r="T123" s="31" t="str">
        <x:v>https://mp.weixin.qq.com/s?__biz=MzUxOTMxNjk0OQ==&amp;mid=2247501943&amp;idx=1&amp;sn=359c915873034c4f5ccbdaf81a7a088f&amp;chksm=f9f9fccdce8e75dbd7d64403ff89870d28ee6f3aee8bd8e606035d0157d400398dc363ce8c25#rd</x:v>
      </x:c>
    </x:row>
    <x:row r="124">
      <x:c r="A124" s="36" t="d">
        <x:v>2025-05-03T00:00:00.000Z</x:v>
      </x:c>
      <x:c r="B124" s="48" t="n">
        <x:v>233.92</x:v>
      </x:c>
      <x:c r="C124" s="48" t="n">
        <x:v>68.66</x:v>
      </x:c>
      <x:c r="D124" s="48" t="n">
        <x:v>292.2</x:v>
      </x:c>
      <x:c r="E124" s="48" t="n">
        <x:v>81.26</x:v>
      </x:c>
      <x:c r="F124" s="48" t="n">
        <x:v>500</x:v>
      </x:c>
      <x:c r="G124" s="48" t="n">
        <x:v>40</x:v>
      </x:c>
      <x:c r="H124" s="48" t="n">
        <x:v>500</x:v>
      </x:c>
      <x:c r="I124" s="48" t="n">
        <x:v>40</x:v>
      </x:c>
      <x:c r="J124" s="48" t="n">
        <x:v>500</x:v>
      </x:c>
      <x:c r="K124" s="48" t="n">
        <x:v>40</x:v>
      </x:c>
      <x:c r="L124" s="48" t="n">
        <x:v>500</x:v>
      </x:c>
      <x:c r="M124" s="48" t="n">
        <x:v>40</x:v>
      </x:c>
      <x:c r="N124" s="48"/>
      <x:c r="O124" s="48"/>
      <x:c r="P124" s="48"/>
      <x:c r="Q124" s="48"/>
      <x:c r="R124" s="31" t="str">
        <x:v>ok</x:v>
      </x:c>
      <x:c r="S124" s="51" t="n">
        <x:v>0.9894076585769653</x:v>
      </x:c>
      <x:c r="T124" s="31" t="str">
        <x:v>https://mp.weixin.qq.com/s?__biz=MzUxOTMxNjk0OQ==&amp;mid=2247501947&amp;idx=1&amp;sn=6ecdf15d10ee8205ad8bced983e08e97&amp;chksm=f9f9fcc1ce8e75d790b7fbd4bfb4787cf8158a44b800816709037c8ae1c1f62ef155ef489391#rd</x:v>
      </x:c>
    </x:row>
    <x:row r="125">
      <x:c r="A125" s="36" t="d">
        <x:v>2025-05-04T00:00:00.000Z</x:v>
      </x:c>
      <x:c r="B125" s="48" t="n">
        <x:v>247.48</x:v>
      </x:c>
      <x:c r="C125" s="48" t="n">
        <x:v>62.4</x:v>
      </x:c>
      <x:c r="D125" s="48" t="n">
        <x:v>283.36</x:v>
      </x:c>
      <x:c r="E125" s="48" t="n">
        <x:v>118.78</x:v>
      </x:c>
      <x:c r="F125" s="48" t="n">
        <x:v>500</x:v>
      </x:c>
      <x:c r="G125" s="48" t="n">
        <x:v>40</x:v>
      </x:c>
      <x:c r="H125" s="48" t="n">
        <x:v>500</x:v>
      </x:c>
      <x:c r="I125" s="48" t="n">
        <x:v>40</x:v>
      </x:c>
      <x:c r="J125" s="48" t="n">
        <x:v>500</x:v>
      </x:c>
      <x:c r="K125" s="48" t="n">
        <x:v>40</x:v>
      </x:c>
      <x:c r="L125" s="48" t="n">
        <x:v>500</x:v>
      </x:c>
      <x:c r="M125" s="48" t="n">
        <x:v>40</x:v>
      </x:c>
      <x:c r="N125" s="48"/>
      <x:c r="O125" s="48"/>
      <x:c r="P125" s="48"/>
      <x:c r="Q125" s="48"/>
      <x:c r="R125" s="31" t="str">
        <x:v>ok</x:v>
      </x:c>
      <x:c r="S125" s="51" t="n">
        <x:v>0.9997926354408264</x:v>
      </x:c>
      <x:c r="T125" s="31" t="str">
        <x:v>https://mp.weixin.qq.com/s?__biz=MzUxOTMxNjk0OQ==&amp;mid=2247501961&amp;idx=2&amp;sn=0570c8e4b1f1b898d2b1c049991c938e&amp;chksm=f9f9fc33ce8e7525ad90eb9b84b4bb4e18a71b5f78689d60e2784723914aa6dea5acc5ee74a7#rd</x:v>
      </x:c>
    </x:row>
    <x:row r="126">
      <x:c r="A126" s="36" t="d">
        <x:v>2025-05-05T00:00:00.000Z</x:v>
      </x:c>
      <x:c r="B126" s="48" t="n">
        <x:v>234.09</x:v>
      </x:c>
      <x:c r="C126" s="48" t="n">
        <x:v>58.08</x:v>
      </x:c>
      <x:c r="D126" s="48" t="n">
        <x:v>201.94</x:v>
      </x:c>
      <x:c r="E126" s="48" t="n">
        <x:v>55.21</x:v>
      </x:c>
      <x:c r="F126" s="48" t="n">
        <x:v>574</x:v>
      </x:c>
      <x:c r="G126" s="48" t="n">
        <x:v>40</x:v>
      </x:c>
      <x:c r="H126" s="48" t="n">
        <x:v>574</x:v>
      </x:c>
      <x:c r="I126" s="48" t="n">
        <x:v>40</x:v>
      </x:c>
      <x:c r="J126" s="48" t="n">
        <x:v>1000</x:v>
      </x:c>
      <x:c r="K126" s="48" t="n">
        <x:v>40</x:v>
      </x:c>
      <x:c r="L126" s="48" t="n">
        <x:v>1000</x:v>
      </x:c>
      <x:c r="M126" s="48" t="n">
        <x:v>40</x:v>
      </x:c>
      <x:c r="N126" s="48"/>
      <x:c r="O126" s="48"/>
      <x:c r="P126" s="48"/>
      <x:c r="Q126" s="48"/>
      <x:c r="R126" s="31" t="str">
        <x:v>ok</x:v>
      </x:c>
      <x:c r="S126" s="51" t="n">
        <x:v>0.9999306201934814</x:v>
      </x:c>
      <x:c r="T126" s="31" t="str">
        <x:v>https://mp.weixin.qq.com/s?__biz=MzUxOTMxNjk0OQ==&amp;mid=2247501969&amp;idx=1&amp;sn=3a73c8f64770c7e6e07fc7d249800d05&amp;chksm=f9f9fc2bce8e753d8f56a3b7c82ee472ae101179b8b6165fea25826e161d2e3b062acf68dac2#rd</x:v>
      </x:c>
    </x:row>
    <x:row r="127">
      <x:c r="A127" s="36" t="d">
        <x:v>2025-05-06T00:00:00.000Z</x:v>
      </x:c>
      <x:c r="B127" s="48" t="n">
        <x:v>317.79</x:v>
      </x:c>
      <x:c r="C127" s="48" t="n">
        <x:v>80.2</x:v>
      </x:c>
      <x:c r="D127" s="48" t="n">
        <x:v>279.53</x:v>
      </x:c>
      <x:c r="E127" s="48" t="n">
        <x:v>76.46</x:v>
      </x:c>
      <x:c r="F127" s="48" t="n">
        <x:v>574</x:v>
      </x:c>
      <x:c r="G127" s="48" t="n">
        <x:v>40</x:v>
      </x:c>
      <x:c r="H127" s="48" t="n">
        <x:v>574</x:v>
      </x:c>
      <x:c r="I127" s="48" t="n">
        <x:v>40</x:v>
      </x:c>
      <x:c r="J127" s="48" t="n">
        <x:v>574</x:v>
      </x:c>
      <x:c r="K127" s="48" t="n">
        <x:v>40</x:v>
      </x:c>
      <x:c r="L127" s="48" t="n">
        <x:v>574</x:v>
      </x:c>
      <x:c r="M127" s="48" t="n">
        <x:v>40</x:v>
      </x:c>
      <x:c r="N127" s="48"/>
      <x:c r="O127" s="48"/>
      <x:c r="P127" s="48"/>
      <x:c r="Q127" s="48"/>
      <x:c r="R127" s="31" t="str">
        <x:v>ok</x:v>
      </x:c>
      <x:c r="S127" s="51" t="n">
        <x:v>0.9999979138374329</x:v>
      </x:c>
      <x:c r="T127" s="31" t="str">
        <x:v>https://mp.weixin.qq.com/s?__biz=MzUxOTMxNjk0OQ==&amp;mid=2247501971&amp;idx=1&amp;sn=496516af41b8eaa97926ede342b2797b&amp;chksm=f9f9fc29ce8e753f79cee74341eda7c43e064b4ee4814abe00409f011a276639a665976e48e8#rd</x:v>
      </x:c>
    </x:row>
    <x:row r="128">
      <x:c r="A128" s="36" t="d">
        <x:v>2025-05-07T00:00:00.000Z</x:v>
      </x:c>
      <x:c r="B128" s="48" t="n">
        <x:v>252.01</x:v>
      </x:c>
      <x:c r="C128" s="48" t="n">
        <x:v>82.06</x:v>
      </x:c>
      <x:c r="D128" s="48" t="n">
        <x:v>305.2</x:v>
      </x:c>
      <x:c r="E128" s="48" t="n">
        <x:v>163.78</x:v>
      </x:c>
      <x:c r="F128" s="48" t="n">
        <x:v>547</x:v>
      </x:c>
      <x:c r="G128" s="48" t="n">
        <x:v>40</x:v>
      </x:c>
      <x:c r="H128" s="48" t="n">
        <x:v>547</x:v>
      </x:c>
      <x:c r="I128" s="48" t="n">
        <x:v>40</x:v>
      </x:c>
      <x:c r="J128" s="48" t="n">
        <x:v>547</x:v>
      </x:c>
      <x:c r="K128" s="48" t="n">
        <x:v>40</x:v>
      </x:c>
      <x:c r="L128" s="48" t="n">
        <x:v>547</x:v>
      </x:c>
      <x:c r="M128" s="48" t="n">
        <x:v>40</x:v>
      </x:c>
      <x:c r="N128" s="48"/>
      <x:c r="O128" s="48"/>
      <x:c r="P128" s="48"/>
      <x:c r="Q128" s="48"/>
      <x:c r="R128" s="31" t="str">
        <x:v>ok</x:v>
      </x:c>
      <x:c r="S128" s="51" t="n">
        <x:v>0.9999977946281433</x:v>
      </x:c>
      <x:c r="T128" s="31" t="str">
        <x:v>https://mp.weixin.qq.com/s?__biz=MzUxOTMxNjk0OQ==&amp;mid=2247501995&amp;idx=1&amp;sn=f027f719d986b527ba693bedbb5d91b7&amp;chksm=f9f9fc11ce8e75078619e64d3c786eef114e3690d6b684274e42ab7a1ce6bf1c3a691764ef53#rd</x:v>
      </x:c>
    </x:row>
    <x:row r="129">
      <x:c r="A129" s="36" t="d">
        <x:v>2025-05-08T00:00:00.000Z</x:v>
      </x:c>
      <x:c r="B129" s="48" t="n">
        <x:v>203.5</x:v>
      </x:c>
      <x:c r="C129" s="48" t="n">
        <x:v>104.93</x:v>
      </x:c>
      <x:c r="D129" s="48" t="n">
        <x:v>244.95</x:v>
      </x:c>
      <x:c r="E129" s="48" t="n">
        <x:v>145.99</x:v>
      </x:c>
      <x:c r="F129" s="48" t="n">
        <x:v>422</x:v>
      </x:c>
      <x:c r="G129" s="48" t="n">
        <x:v>40</x:v>
      </x:c>
      <x:c r="H129" s="48" t="n">
        <x:v>422</x:v>
      </x:c>
      <x:c r="I129" s="48" t="n">
        <x:v>40</x:v>
      </x:c>
      <x:c r="J129" s="48" t="n">
        <x:v>607</x:v>
      </x:c>
      <x:c r="K129" s="48" t="n">
        <x:v>40</x:v>
      </x:c>
      <x:c r="L129" s="48" t="n">
        <x:v>607</x:v>
      </x:c>
      <x:c r="M129" s="48" t="n">
        <x:v>40</x:v>
      </x:c>
      <x:c r="N129" s="48"/>
      <x:c r="O129" s="48"/>
      <x:c r="P129" s="48"/>
      <x:c r="Q129" s="48"/>
      <x:c r="R129" s="31" t="str">
        <x:v>ok</x:v>
      </x:c>
      <x:c r="S129" s="51" t="n">
        <x:v>0.9999925494194031</x:v>
      </x:c>
      <x:c r="T129" s="31" t="str">
        <x:v>https://mp.weixin.qq.com/s?__biz=MzUxOTMxNjk0OQ==&amp;mid=2247501998&amp;idx=1&amp;sn=3f46d4cc52f4affd78cf2520f638f88c&amp;chksm=f9f9fc14ce8e7502abc65244803a29bbec76d0270d7fb23f227efcb583f9c553b6430e386069#rd</x:v>
      </x:c>
    </x:row>
    <x:row r="130">
      <x:c r="A130" s="36" t="d">
        <x:v>2025-05-09T00:00:00.000Z</x:v>
      </x:c>
      <x:c r="B130" s="48" t="n">
        <x:v>139.91</x:v>
      </x:c>
      <x:c r="C130" s="48" t="n">
        <x:v>55.22</x:v>
      </x:c>
      <x:c r="D130" s="48" t="n">
        <x:v>120.08</x:v>
      </x:c>
      <x:c r="E130" s="48" t="n">
        <x:v>48.17</x:v>
      </x:c>
      <x:c r="F130" s="48" t="n">
        <x:v>423</x:v>
      </x:c>
      <x:c r="G130" s="48" t="n">
        <x:v>40</x:v>
      </x:c>
      <x:c r="H130" s="48" t="n">
        <x:v>423</x:v>
      </x:c>
      <x:c r="I130" s="48" t="n">
        <x:v>40</x:v>
      </x:c>
      <x:c r="J130" s="48" t="n">
        <x:v>383</x:v>
      </x:c>
      <x:c r="K130" s="48" t="n">
        <x:v>40</x:v>
      </x:c>
      <x:c r="L130" s="48" t="n">
        <x:v>383</x:v>
      </x:c>
      <x:c r="M130" s="48" t="n">
        <x:v>40</x:v>
      </x:c>
      <x:c r="N130" s="48"/>
      <x:c r="O130" s="48"/>
      <x:c r="P130" s="48"/>
      <x:c r="Q130" s="48"/>
      <x:c r="R130" s="31" t="str">
        <x:v>ok</x:v>
      </x:c>
      <x:c r="S130" s="51" t="n">
        <x:v>0.9999964237213135</x:v>
      </x:c>
      <x:c r="T130" s="31" t="str">
        <x:v>https://mp.weixin.qq.com/s?__biz=MzUxOTMxNjk0OQ==&amp;mid=2247502000&amp;idx=1&amp;sn=a96f3c8c03c1fc20ab3ed5933a3f1cab&amp;chksm=f9f9fc0ace8e751cdc7dd00dc5260f19b65aa538293dff814464c1181c63b6d66c6be6f9ce13#rd</x:v>
      </x:c>
    </x:row>
    <x:row r="131">
      <x:c r="A131" s="36" t="d">
        <x:v>2025-05-10T00:00:00.000Z</x:v>
      </x:c>
      <x:c r="B131" s="48" t="n">
        <x:v>179.07</x:v>
      </x:c>
      <x:c r="C131" s="48" t="n">
        <x:v>55.19</x:v>
      </x:c>
      <x:c r="D131" s="48" t="n">
        <x:v>181.07</x:v>
      </x:c>
      <x:c r="E131" s="48" t="n">
        <x:v>52.45</x:v>
      </x:c>
      <x:c r="F131" s="48" t="n">
        <x:v>1000</x:v>
      </x:c>
      <x:c r="G131" s="48" t="n">
        <x:v>40</x:v>
      </x:c>
      <x:c r="H131" s="48" t="n">
        <x:v>1000</x:v>
      </x:c>
      <x:c r="I131" s="48" t="n">
        <x:v>40</x:v>
      </x:c>
      <x:c r="J131" s="48" t="n">
        <x:v>1000</x:v>
      </x:c>
      <x:c r="K131" s="48" t="n">
        <x:v>40</x:v>
      </x:c>
      <x:c r="L131" s="48" t="n">
        <x:v>1000</x:v>
      </x:c>
      <x:c r="M131" s="48" t="n">
        <x:v>40</x:v>
      </x:c>
      <x:c r="N131" s="48"/>
      <x:c r="O131" s="48"/>
      <x:c r="P131" s="48"/>
      <x:c r="Q131" s="48"/>
      <x:c r="R131" s="31" t="str">
        <x:v>ok</x:v>
      </x:c>
      <x:c r="S131" s="51" t="n">
        <x:v>0.9999823570251465</x:v>
      </x:c>
      <x:c r="T131" s="31" t="str">
        <x:v>https://mp.weixin.qq.com/s?__biz=MzUxOTMxNjk0OQ==&amp;mid=2247502005&amp;idx=1&amp;sn=dac690a6709986ded0c595a688abc495&amp;chksm=f9f9fc0fce8e751997225a68b87304d33ced6278d8656cd9383f3c08eef2fbbdd32dc58d3e16#rd</x:v>
      </x:c>
    </x:row>
    <x:row r="132">
      <x:c r="A132" s="36" t="d">
        <x:v>2025-05-11T00:00:00.000Z</x:v>
      </x:c>
      <x:c r="B132" s="48" t="n">
        <x:v>224.37</x:v>
      </x:c>
      <x:c r="C132" s="48" t="n">
        <x:v>65.68</x:v>
      </x:c>
      <x:c r="D132" s="48" t="n">
        <x:v>177.77</x:v>
      </x:c>
      <x:c r="E132" s="48" t="n">
        <x:v>61.55</x:v>
      </x:c>
      <x:c r="F132" s="48" t="n">
        <x:v>1000</x:v>
      </x:c>
      <x:c r="G132" s="48" t="n">
        <x:v>40</x:v>
      </x:c>
      <x:c r="H132" s="48" t="n">
        <x:v>1000</x:v>
      </x:c>
      <x:c r="I132" s="48" t="n">
        <x:v>40</x:v>
      </x:c>
      <x:c r="J132" s="48" t="n">
        <x:v>1000</x:v>
      </x:c>
      <x:c r="K132" s="48" t="n">
        <x:v>40</x:v>
      </x:c>
      <x:c r="L132" s="48" t="n">
        <x:v>1000</x:v>
      </x:c>
      <x:c r="M132" s="48" t="n">
        <x:v>40</x:v>
      </x:c>
      <x:c r="N132" s="48"/>
      <x:c r="O132" s="48"/>
      <x:c r="P132" s="48"/>
      <x:c r="Q132" s="48"/>
      <x:c r="R132" s="31" t="str">
        <x:v>ok</x:v>
      </x:c>
      <x:c r="S132" s="51" t="n">
        <x:v>0.9999507665634155</x:v>
      </x:c>
      <x:c r="T132" s="31" t="str">
        <x:v>https://mp.weixin.qq.com/s?__biz=MzUxOTMxNjk0OQ==&amp;mid=2247502014&amp;idx=1&amp;sn=e729631bf7770dfa4a63a3f60128272a&amp;chksm=f9f9fc04ce8e75125fd4beb0e6657c6f68c3e5ffd35fc8bd8e4db4a53837abd0d315108f30fe#rd</x:v>
      </x:c>
    </x:row>
    <x:row r="133">
      <x:c r="A133" s="36" t="d">
        <x:v>2025-05-12T00:00:00.000Z</x:v>
      </x:c>
      <x:c r="B133" s="48" t="n">
        <x:v>192.27</x:v>
      </x:c>
      <x:c r="C133" s="48" t="n">
        <x:v>74.77</x:v>
      </x:c>
      <x:c r="D133" s="48" t="n">
        <x:v>144.41</x:v>
      </x:c>
      <x:c r="E133" s="48" t="n">
        <x:v>85.8</x:v>
      </x:c>
      <x:c r="F133" s="48" t="n">
        <x:v>1000</x:v>
      </x:c>
      <x:c r="G133" s="48" t="n">
        <x:v>40</x:v>
      </x:c>
      <x:c r="H133" s="48" t="n">
        <x:v>1000</x:v>
      </x:c>
      <x:c r="I133" s="48" t="n">
        <x:v>40</x:v>
      </x:c>
      <x:c r="J133" s="48" t="n">
        <x:v>1000</x:v>
      </x:c>
      <x:c r="K133" s="48" t="n">
        <x:v>40</x:v>
      </x:c>
      <x:c r="L133" s="48" t="n">
        <x:v>1000</x:v>
      </x:c>
      <x:c r="M133" s="48" t="n">
        <x:v>40</x:v>
      </x:c>
      <x:c r="N133" s="48"/>
      <x:c r="O133" s="48"/>
      <x:c r="P133" s="48"/>
      <x:c r="Q133" s="48"/>
      <x:c r="R133" s="31" t="str">
        <x:v>ok</x:v>
      </x:c>
      <x:c r="S133" s="51" t="n">
        <x:v>0.999889612197876</x:v>
      </x:c>
      <x:c r="T133" s="31" t="str">
        <x:v>https://mp.weixin.qq.com/s?__biz=MzUxOTMxNjk0OQ==&amp;mid=2247502020&amp;idx=1&amp;sn=18ecad314e5849a1e0c2429e23c5a845&amp;chksm=f9f9fc7ece8e7568271e1a908904cee6a084c2494ffae9dc6e3847a7cb343c3975a7ea0f2a40#rd</x:v>
      </x:c>
    </x:row>
    <x:row r="134">
      <x:c r="A134" s="36" t="d">
        <x:v>2025-05-13T00:00:00.000Z</x:v>
      </x:c>
      <x:c r="B134" s="48" t="n">
        <x:v>104.37</x:v>
      </x:c>
      <x:c r="C134" s="48" t="n">
        <x:v>60.23</x:v>
      </x:c>
      <x:c r="D134" s="48" t="n">
        <x:v>115.58</x:v>
      </x:c>
      <x:c r="E134" s="48" t="n">
        <x:v>79.9</x:v>
      </x:c>
      <x:c r="F134" s="48" t="n">
        <x:v>423</x:v>
      </x:c>
      <x:c r="G134" s="48" t="n">
        <x:v>40</x:v>
      </x:c>
      <x:c r="H134" s="48" t="n">
        <x:v>423</x:v>
      </x:c>
      <x:c r="I134" s="48" t="n">
        <x:v>40</x:v>
      </x:c>
      <x:c r="J134" s="48" t="n">
        <x:v>423</x:v>
      </x:c>
      <x:c r="K134" s="48" t="n">
        <x:v>40</x:v>
      </x:c>
      <x:c r="L134" s="48" t="n">
        <x:v>423</x:v>
      </x:c>
      <x:c r="M134" s="48" t="n">
        <x:v>40</x:v>
      </x:c>
      <x:c r="N134" s="48"/>
      <x:c r="O134" s="48"/>
      <x:c r="P134" s="48"/>
      <x:c r="Q134" s="48"/>
      <x:c r="R134" s="31" t="str">
        <x:v>ok</x:v>
      </x:c>
      <x:c r="S134" s="51" t="n">
        <x:v>0.9999948143959045</x:v>
      </x:c>
      <x:c r="T134" s="31" t="str">
        <x:v>https://mp.weixin.qq.com/s?__biz=MzUxOTMxNjk0OQ==&amp;mid=2247502023&amp;idx=1&amp;sn=4a7ade7ec7b491fc034b1c3f6041980a&amp;chksm=f9f9fc7dce8e756b8c0db0541fc8d1d8c1fc9652e94b30ce8091f2639e6f2aad85bd83b64308#rd</x:v>
      </x:c>
    </x:row>
    <x:row r="135">
      <x:c r="A135" s="36" t="d">
        <x:v>2025-05-14T00:00:00.000Z</x:v>
      </x:c>
      <x:c r="B135" s="48" t="n">
        <x:v>119.55</x:v>
      </x:c>
      <x:c r="C135" s="48" t="n">
        <x:v>79.21</x:v>
      </x:c>
      <x:c r="D135" s="48" t="n">
        <x:v>128.32</x:v>
      </x:c>
      <x:c r="E135" s="48" t="n">
        <x:v>91.75</x:v>
      </x:c>
      <x:c r="F135" s="48" t="n">
        <x:v>1000</x:v>
      </x:c>
      <x:c r="G135" s="48" t="n">
        <x:v>40</x:v>
      </x:c>
      <x:c r="H135" s="48" t="n">
        <x:v>1000</x:v>
      </x:c>
      <x:c r="I135" s="48" t="n">
        <x:v>40</x:v>
      </x:c>
      <x:c r="J135" s="48" t="n">
        <x:v>1000</x:v>
      </x:c>
      <x:c r="K135" s="48" t="n">
        <x:v>40</x:v>
      </x:c>
      <x:c r="L135" s="48" t="n">
        <x:v>1000</x:v>
      </x:c>
      <x:c r="M135" s="48" t="n">
        <x:v>40</x:v>
      </x:c>
      <x:c r="N135" s="48"/>
      <x:c r="O135" s="48"/>
      <x:c r="P135" s="48"/>
      <x:c r="Q135" s="48"/>
      <x:c r="R135" s="31" t="str">
        <x:v>ok</x:v>
      </x:c>
      <x:c r="S135" s="51" t="n">
        <x:v>0.999980628490448</x:v>
      </x:c>
      <x:c r="T135" s="31" t="str">
        <x:v>https://mp.weixin.qq.com/s?__biz=MzUxOTMxNjk0OQ==&amp;mid=2247502039&amp;idx=1&amp;sn=9a056871f33c118871b2ff419d337737&amp;chksm=f9f9fc6dce8e757bcef3b0eea7a452479fc568817717a7cf75fd2d073428e5cfc049e69f4c09#rd</x:v>
      </x:c>
    </x:row>
    <x:row r="136">
      <x:c r="A136" s="36" t="d">
        <x:v>2025-05-15T00:00:00.000Z</x:v>
      </x:c>
      <x:c r="B136" s="48" t="n">
        <x:v>131.43</x:v>
      </x:c>
      <x:c r="C136" s="48" t="n">
        <x:v>58.5</x:v>
      </x:c>
      <x:c r="D136" s="48" t="n">
        <x:v>148.75</x:v>
      </x:c>
      <x:c r="E136" s="48" t="n">
        <x:v>79.92</x:v>
      </x:c>
      <x:c r="F136" s="48" t="n">
        <x:v>456</x:v>
      </x:c>
      <x:c r="G136" s="48" t="n">
        <x:v>40</x:v>
      </x:c>
      <x:c r="H136" s="48" t="n">
        <x:v>456</x:v>
      </x:c>
      <x:c r="I136" s="48" t="n">
        <x:v>40</x:v>
      </x:c>
      <x:c r="J136" s="48" t="n">
        <x:v>1000</x:v>
      </x:c>
      <x:c r="K136" s="48" t="n">
        <x:v>40</x:v>
      </x:c>
      <x:c r="L136" s="48" t="n">
        <x:v>1000</x:v>
      </x:c>
      <x:c r="M136" s="48" t="n">
        <x:v>40</x:v>
      </x:c>
      <x:c r="N136" s="48"/>
      <x:c r="O136" s="48"/>
      <x:c r="P136" s="48"/>
      <x:c r="Q136" s="48"/>
      <x:c r="R136" s="31" t="str">
        <x:v>ok</x:v>
      </x:c>
      <x:c r="S136" s="51" t="n">
        <x:v>0.9999594688415527</x:v>
      </x:c>
      <x:c r="T136" s="31" t="str">
        <x:v>https://mp.weixin.qq.com/s?__biz=MzUxOTMxNjk0OQ==&amp;mid=2247502041&amp;idx=1&amp;sn=6a88dd7311ee385c26eee392ff6f15b3&amp;chksm=f9f9fc63ce8e7575a984a423a28e9d2b95d628c7a486a6f3478acf1a430c21c828ead709d2db#rd</x:v>
      </x:c>
    </x:row>
    <x:row r="137">
      <x:c r="A137" s="36" t="d">
        <x:v>2025-05-16T00:00:00.000Z</x:v>
      </x:c>
      <x:c r="B137" s="48" t="n">
        <x:v>106.57</x:v>
      </x:c>
      <x:c r="C137" s="48" t="n">
        <x:v>65.07</x:v>
      </x:c>
      <x:c r="D137" s="48" t="n">
        <x:v>82.09</x:v>
      </x:c>
      <x:c r="E137" s="48" t="n">
        <x:v>60.94</x:v>
      </x:c>
      <x:c r="F137" s="48" t="n">
        <x:v>1000</x:v>
      </x:c>
      <x:c r="G137" s="48" t="n">
        <x:v>40</x:v>
      </x:c>
      <x:c r="H137" s="48" t="n">
        <x:v>1000</x:v>
      </x:c>
      <x:c r="I137" s="48" t="n">
        <x:v>40</x:v>
      </x:c>
      <x:c r="J137" s="48" t="n">
        <x:v>1000</x:v>
      </x:c>
      <x:c r="K137" s="48" t="n">
        <x:v>40</x:v>
      </x:c>
      <x:c r="L137" s="48" t="n">
        <x:v>1000</x:v>
      </x:c>
      <x:c r="M137" s="48" t="n">
        <x:v>40</x:v>
      </x:c>
      <x:c r="N137" s="48"/>
      <x:c r="O137" s="48"/>
      <x:c r="P137" s="48"/>
      <x:c r="Q137" s="48"/>
      <x:c r="R137" s="31" t="str">
        <x:v>ok</x:v>
      </x:c>
      <x:c r="S137" s="51" t="n">
        <x:v>0.9999837875366211</x:v>
      </x:c>
      <x:c r="T137" s="31" t="str">
        <x:v>https://mp.weixin.qq.com/s?__biz=MzUxOTMxNjk0OQ==&amp;mid=2247502043&amp;idx=1&amp;sn=db655e30b0ccb9ff78d350dfceab07e9&amp;chksm=f9f9fc61ce8e7577bf9f3ad52ec038afff8c6efac19f5f76d4997b92d1f1d875005c1ad08694#rd</x:v>
      </x:c>
    </x:row>
    <x:row r="138">
      <x:c r="A138" s="36" t="d">
        <x:v>2025-05-17T00:00:00.000Z</x:v>
      </x:c>
      <x:c r="B138" s="48" t="n">
        <x:v>81.84</x:v>
      </x:c>
      <x:c r="C138" s="48" t="n">
        <x:v>94.14</x:v>
      </x:c>
      <x:c r="D138" s="48" t="n">
        <x:v>116.33</x:v>
      </x:c>
      <x:c r="E138" s="48" t="n">
        <x:v>154.31</x:v>
      </x:c>
      <x:c r="F138" s="48" t="n">
        <x:v>443</x:v>
      </x:c>
      <x:c r="G138" s="48" t="n">
        <x:v>40</x:v>
      </x:c>
      <x:c r="H138" s="48" t="n">
        <x:v>443</x:v>
      </x:c>
      <x:c r="I138" s="48" t="n">
        <x:v>40</x:v>
      </x:c>
      <x:c r="J138" s="48" t="n">
        <x:v>449</x:v>
      </x:c>
      <x:c r="K138" s="48" t="n">
        <x:v>40</x:v>
      </x:c>
      <x:c r="L138" s="48" t="n">
        <x:v>449</x:v>
      </x:c>
      <x:c r="M138" s="48" t="n">
        <x:v>40</x:v>
      </x:c>
      <x:c r="N138" s="48"/>
      <x:c r="O138" s="48"/>
      <x:c r="P138" s="48"/>
      <x:c r="Q138" s="48"/>
      <x:c r="R138" s="31" t="str">
        <x:v>ok</x:v>
      </x:c>
      <x:c r="S138" s="51" t="n">
        <x:v>0.9999966025352478</x:v>
      </x:c>
      <x:c r="T138" s="31" t="str">
        <x:v>https://mp.weixin.qq.com/s?__biz=MzUxOTMxNjk0OQ==&amp;mid=2247502057&amp;idx=1&amp;sn=1e166e03a245a4bdff05a093d3c30397&amp;chksm=f9f9fc53ce8e7545a58a32267a11101a46cd2a501a525a2464205aa47ae3ffbb393fff8ec9fa#rd</x:v>
      </x:c>
    </x:row>
    <x:row r="139">
      <x:c r="A139" s="36" t="d">
        <x:v>2025-05-18T00:00:00.000Z</x:v>
      </x:c>
      <x:c r="B139" s="48" t="n">
        <x:v>76.86</x:v>
      </x:c>
      <x:c r="C139" s="48" t="n">
        <x:v>82.12</x:v>
      </x:c>
      <x:c r="D139" s="48" t="n">
        <x:v>89.44</x:v>
      </x:c>
      <x:c r="E139" s="48" t="n">
        <x:v>88.87</x:v>
      </x:c>
      <x:c r="F139" s="48" t="n">
        <x:v>397</x:v>
      </x:c>
      <x:c r="G139" s="48" t="n">
        <x:v>40</x:v>
      </x:c>
      <x:c r="H139" s="48" t="n">
        <x:v>397</x:v>
      </x:c>
      <x:c r="I139" s="48" t="n">
        <x:v>40</x:v>
      </x:c>
      <x:c r="J139" s="48" t="n">
        <x:v>449</x:v>
      </x:c>
      <x:c r="K139" s="48" t="n">
        <x:v>40</x:v>
      </x:c>
      <x:c r="L139" s="48" t="n">
        <x:v>449</x:v>
      </x:c>
      <x:c r="M139" s="48" t="n">
        <x:v>40</x:v>
      </x:c>
      <x:c r="N139" s="48"/>
      <x:c r="O139" s="48"/>
      <x:c r="P139" s="48"/>
      <x:c r="Q139" s="48"/>
      <x:c r="R139" s="31" t="str">
        <x:v>ok</x:v>
      </x:c>
      <x:c r="S139" s="51" t="n">
        <x:v>0.9999975562095642</x:v>
      </x:c>
      <x:c r="T139" s="31" t="str">
        <x:v>https://mp.weixin.qq.com/s?__biz=MzUxOTMxNjk0OQ==&amp;mid=2247502081&amp;idx=3&amp;sn=ae83738ad18a3420ed7bce08d37f5de9&amp;chksm=f9f9fdbbce8e74ad42c057fdec9009287210611b34dd72fce46e127006326c47746faee527a3#rd</x:v>
      </x:c>
    </x:row>
    <x:row r="140">
      <x:c r="A140" s="36" t="d">
        <x:v>2025-05-19T00:00:00.000Z</x:v>
      </x:c>
      <x:c r="B140" s="48" t="n">
        <x:v>101.85</x:v>
      </x:c>
      <x:c r="C140" s="48" t="n">
        <x:v>105.93</x:v>
      </x:c>
      <x:c r="D140" s="48" t="n">
        <x:v>91.75</x:v>
      </x:c>
      <x:c r="E140" s="48" t="n">
        <x:v>171.98</x:v>
      </x:c>
      <x:c r="F140" s="48" t="n">
        <x:v>625.58</x:v>
      </x:c>
      <x:c r="G140" s="48" t="n">
        <x:v>40</x:v>
      </x:c>
      <x:c r="H140" s="48" t="n">
        <x:v>658.35</x:v>
      </x:c>
      <x:c r="I140" s="48" t="n">
        <x:v>40</x:v>
      </x:c>
      <x:c r="J140" s="48" t="n">
        <x:v>518</x:v>
      </x:c>
      <x:c r="K140" s="48" t="n">
        <x:v>40</x:v>
      </x:c>
      <x:c r="L140" s="48" t="n">
        <x:v>518</x:v>
      </x:c>
      <x:c r="M140" s="48" t="n">
        <x:v>40</x:v>
      </x:c>
      <x:c r="N140" s="48"/>
      <x:c r="O140" s="48"/>
      <x:c r="P140" s="48"/>
      <x:c r="Q140" s="48"/>
      <x:c r="R140" s="31" t="str">
        <x:v>ok</x:v>
      </x:c>
      <x:c r="S140" s="51" t="n">
        <x:v>0.9999971985816956</x:v>
      </x:c>
      <x:c r="T140" s="31" t="str">
        <x:v>https://mp.weixin.qq.com/s?__biz=MzUxOTMxNjk0OQ==&amp;mid=2247502091&amp;idx=1&amp;sn=c1ec776dc1b7eab62c0b900f6ce81ae9&amp;chksm=f9f9fdb1ce8e74a7d4848cae8578a665dce27e2660c652459b15fda28d3ba5814f6549848aa2#rd</x:v>
      </x:c>
    </x:row>
    <x:row r="141">
      <x:c r="A141" s="36" t="d">
        <x:v>2025-05-20T00:00:00.000Z</x:v>
      </x:c>
      <x:c r="B141" s="48" t="n">
        <x:v>84.2</x:v>
      </x:c>
      <x:c r="C141" s="48" t="n">
        <x:v>121.67</x:v>
      </x:c>
      <x:c r="D141" s="48" t="n">
        <x:v>85.9</x:v>
      </x:c>
      <x:c r="E141" s="48" t="n">
        <x:v>199.99</x:v>
      </x:c>
      <x:c r="F141" s="48" t="n">
        <x:v>570</x:v>
      </x:c>
      <x:c r="G141" s="48" t="n">
        <x:v>40</x:v>
      </x:c>
      <x:c r="H141" s="48" t="n">
        <x:v>570</x:v>
      </x:c>
      <x:c r="I141" s="48" t="n">
        <x:v>40</x:v>
      </x:c>
      <x:c r="J141" s="48" t="n">
        <x:v>1000</x:v>
      </x:c>
      <x:c r="K141" s="48" t="n">
        <x:v>40</x:v>
      </x:c>
      <x:c r="L141" s="48" t="n">
        <x:v>1000</x:v>
      </x:c>
      <x:c r="M141" s="48" t="n">
        <x:v>40</x:v>
      </x:c>
      <x:c r="N141" s="48"/>
      <x:c r="O141" s="48"/>
      <x:c r="P141" s="48"/>
      <x:c r="Q141" s="48"/>
      <x:c r="R141" s="31" t="str">
        <x:v>ok</x:v>
      </x:c>
      <x:c r="S141" s="51" t="n">
        <x:v>0.9999526143074036</x:v>
      </x:c>
      <x:c r="T141" s="31" t="str">
        <x:v>https://mp.weixin.qq.com/s?__biz=MzUxOTMxNjk0OQ==&amp;mid=2247502095&amp;idx=1&amp;sn=94bff011bd9d5e4f852e8c51ce697a25&amp;chksm=f9f9fdb5ce8e74a3366a25ad6cab0920b662e3efa36ae7a7eeb0b85bbffb4da233fd1fd9afb4#rd</x:v>
      </x:c>
    </x:row>
    <x:row r="142">
      <x:c r="A142" s="36" t="d">
        <x:v>2025-05-21T00:00:00.000Z</x:v>
      </x:c>
      <x:c r="B142" s="48" t="n">
        <x:v>116.66</x:v>
      </x:c>
      <x:c r="C142" s="48" t="n">
        <x:v>179.46</x:v>
      </x:c>
      <x:c r="D142" s="48" t="n">
        <x:v>126.12</x:v>
      </x:c>
      <x:c r="E142" s="48" t="n">
        <x:v>206.96</x:v>
      </x:c>
      <x:c r="F142" s="48" t="n">
        <x:v>1000</x:v>
      </x:c>
      <x:c r="G142" s="48" t="n">
        <x:v>40</x:v>
      </x:c>
      <x:c r="H142" s="48" t="n">
        <x:v>1000</x:v>
      </x:c>
      <x:c r="I142" s="48" t="n">
        <x:v>40</x:v>
      </x:c>
      <x:c r="J142" s="48" t="n">
        <x:v>1000</x:v>
      </x:c>
      <x:c r="K142" s="48" t="n">
        <x:v>40</x:v>
      </x:c>
      <x:c r="L142" s="48" t="n">
        <x:v>1000</x:v>
      </x:c>
      <x:c r="M142" s="48" t="n">
        <x:v>40</x:v>
      </x:c>
      <x:c r="N142" s="48"/>
      <x:c r="O142" s="48"/>
      <x:c r="P142" s="48"/>
      <x:c r="Q142" s="48"/>
      <x:c r="R142" s="31" t="str">
        <x:v>ok</x:v>
      </x:c>
      <x:c r="S142" s="51" t="n">
        <x:v>0.9663466215133667</x:v>
      </x:c>
      <x:c r="T142" s="31" t="str">
        <x:v>https://mp.weixin.qq.com/s?__biz=MzUxOTMxNjk0OQ==&amp;mid=2247502105&amp;idx=2&amp;sn=0d68b87dd7d29d270159e209ee775432&amp;chksm=f9f9fda3ce8e74b5e65a8779af045bfb237f5bbf356ec0473b7d9c934370e997723f595027f7#rd</x:v>
      </x:c>
    </x:row>
    <x:row r="143">
      <x:c r="A143" s="36" t="d">
        <x:v>2025-05-22T00:00:00.000Z</x:v>
      </x:c>
      <x:c r="B143" s="48" t="n">
        <x:v>203.53</x:v>
      </x:c>
      <x:c r="C143" s="48" t="n">
        <x:v>196.98</x:v>
      </x:c>
      <x:c r="D143" s="48" t="n">
        <x:v>151.89</x:v>
      </x:c>
      <x:c r="E143" s="48" t="n">
        <x:v>140.25</x:v>
      </x:c>
      <x:c r="F143" s="48" t="n">
        <x:v>1000</x:v>
      </x:c>
      <x:c r="G143" s="48" t="n">
        <x:v>40</x:v>
      </x:c>
      <x:c r="H143" s="48" t="n">
        <x:v>1000</x:v>
      </x:c>
      <x:c r="I143" s="48" t="n">
        <x:v>40</x:v>
      </x:c>
      <x:c r="J143" s="48" t="n">
        <x:v>1000</x:v>
      </x:c>
      <x:c r="K143" s="48" t="n">
        <x:v>40</x:v>
      </x:c>
      <x:c r="L143" s="48" t="n">
        <x:v>1000</x:v>
      </x:c>
      <x:c r="M143" s="48" t="n">
        <x:v>40</x:v>
      </x:c>
      <x:c r="N143" s="48"/>
      <x:c r="O143" s="48"/>
      <x:c r="P143" s="48"/>
      <x:c r="Q143" s="48"/>
      <x:c r="R143" s="31" t="str">
        <x:v>ok</x:v>
      </x:c>
      <x:c r="S143" s="51" t="n">
        <x:v>0.9999527931213379</x:v>
      </x:c>
      <x:c r="T143" s="31" t="str">
        <x:v>https://mp.weixin.qq.com/s?__biz=MzUxOTMxNjk0OQ==&amp;mid=2247502107&amp;idx=1&amp;sn=922c57f139fedd513a465ad261d4b7e4&amp;chksm=f9f9fda1ce8e74b7600c22866e56215bd697485c9ed704e5e6a30019b6828c288305565785f1#rd</x:v>
      </x:c>
    </x:row>
    <x:row r="144">
      <x:c r="A144" s="36" t="d">
        <x:v>2025-05-23T00:00:00.000Z</x:v>
      </x:c>
      <x:c r="B144" s="48" t="n">
        <x:v>89.64</x:v>
      </x:c>
      <x:c r="C144" s="48" t="n">
        <x:v>79.18</x:v>
      </x:c>
      <x:c r="D144" s="48" t="n">
        <x:v>85.74</x:v>
      </x:c>
      <x:c r="E144" s="48" t="n">
        <x:v>71.87</x:v>
      </x:c>
      <x:c r="F144" s="48" t="n">
        <x:v>1000</x:v>
      </x:c>
      <x:c r="G144" s="48" t="n">
        <x:v>40</x:v>
      </x:c>
      <x:c r="H144" s="48" t="n">
        <x:v>1000</x:v>
      </x:c>
      <x:c r="I144" s="48" t="n">
        <x:v>40</x:v>
      </x:c>
      <x:c r="J144" s="48" t="n">
        <x:v>1000</x:v>
      </x:c>
      <x:c r="K144" s="48" t="n">
        <x:v>40</x:v>
      </x:c>
      <x:c r="L144" s="48" t="n">
        <x:v>1000</x:v>
      </x:c>
      <x:c r="M144" s="48" t="n">
        <x:v>40</x:v>
      </x:c>
      <x:c r="N144" s="48"/>
      <x:c r="O144" s="48"/>
      <x:c r="P144" s="48"/>
      <x:c r="Q144" s="48"/>
      <x:c r="R144" s="31" t="str">
        <x:v>ok</x:v>
      </x:c>
      <x:c r="S144" s="51" t="n">
        <x:v>0.9999716877937317</x:v>
      </x:c>
      <x:c r="T144" s="31" t="str">
        <x:v>https://mp.weixin.qq.com/s?__biz=MzUxOTMxNjk0OQ==&amp;mid=2247502109&amp;idx=1&amp;sn=2199c9cd5fe604744eed27f8c38ed83d&amp;chksm=f9f9fda7ce8e74b1d4e3bbc631772a9c37619bd7f7c2bb2b06081e71197c62fd6d4e1f274cd7#rd</x:v>
      </x:c>
    </x:row>
    <x:row r="145">
      <x:c r="A145" s="36" t="d">
        <x:v>2025-05-24T00:00:00.000Z</x:v>
      </x:c>
      <x:c r="B145" s="48" t="n">
        <x:v>181.63</x:v>
      </x:c>
      <x:c r="C145" s="48" t="n">
        <x:v>71.65</x:v>
      </x:c>
      <x:c r="D145" s="48" t="n">
        <x:v>171.01</x:v>
      </x:c>
      <x:c r="E145" s="48" t="n">
        <x:v>72.74</x:v>
      </x:c>
      <x:c r="F145" s="48" t="n">
        <x:v>429</x:v>
      </x:c>
      <x:c r="G145" s="48" t="n">
        <x:v>40</x:v>
      </x:c>
      <x:c r="H145" s="48" t="n">
        <x:v>429</x:v>
      </x:c>
      <x:c r="I145" s="48" t="n">
        <x:v>40</x:v>
      </x:c>
      <x:c r="J145" s="48" t="n">
        <x:v>424.09</x:v>
      </x:c>
      <x:c r="K145" s="48" t="n">
        <x:v>40</x:v>
      </x:c>
      <x:c r="L145" s="48" t="n">
        <x:v>424.09</x:v>
      </x:c>
      <x:c r="M145" s="48" t="n">
        <x:v>40</x:v>
      </x:c>
      <x:c r="N145" s="48"/>
      <x:c r="O145" s="48"/>
      <x:c r="P145" s="48"/>
      <x:c r="Q145" s="48"/>
      <x:c r="R145" s="31" t="str">
        <x:v>ok</x:v>
      </x:c>
      <x:c r="S145" s="51" t="n">
        <x:v>0.9999947547912598</x:v>
      </x:c>
      <x:c r="T145" s="31" t="str">
        <x:v>https://mp.weixin.qq.com/s?__biz=MzUxOTMxNjk0OQ==&amp;mid=2247502117&amp;idx=1&amp;sn=53aacdfe776362dcdd62efa4224f5cf7&amp;chksm=f9f9fd9fce8e74893fd68a1d2ac4cdf0b7023d41fcd8e9a01085021592fa16643c652b9ee5c5#rd</x:v>
      </x:c>
    </x:row>
    <x:row r="146">
      <x:c r="A146" s="36" t="d">
        <x:v>2025-05-25T00:00:00.000Z</x:v>
      </x:c>
      <x:c r="B146" s="48" t="n">
        <x:v>183.25</x:v>
      </x:c>
      <x:c r="C146" s="48" t="n">
        <x:v>78.2</x:v>
      </x:c>
      <x:c r="D146" s="48" t="n">
        <x:v>173.16</x:v>
      </x:c>
      <x:c r="E146" s="48" t="n">
        <x:v>68.63</x:v>
      </x:c>
      <x:c r="F146" s="48" t="n">
        <x:v>551.34</x:v>
      </x:c>
      <x:c r="G146" s="48" t="n">
        <x:v>40</x:v>
      </x:c>
      <x:c r="H146" s="48" t="n">
        <x:v>591.69</x:v>
      </x:c>
      <x:c r="I146" s="48" t="n">
        <x:v>40</x:v>
      </x:c>
      <x:c r="J146" s="48" t="n">
        <x:v>551.34</x:v>
      </x:c>
      <x:c r="K146" s="48" t="n">
        <x:v>40</x:v>
      </x:c>
      <x:c r="L146" s="48" t="n">
        <x:v>591.69</x:v>
      </x:c>
      <x:c r="M146" s="48" t="n">
        <x:v>40</x:v>
      </x:c>
      <x:c r="N146" s="48"/>
      <x:c r="O146" s="48"/>
      <x:c r="P146" s="48"/>
      <x:c r="Q146" s="48"/>
      <x:c r="R146" s="31" t="str">
        <x:v>ok</x:v>
      </x:c>
      <x:c r="S146" s="51" t="n">
        <x:v>0.9999964833259583</x:v>
      </x:c>
      <x:c r="T146" s="31" t="str">
        <x:v>https://mp.weixin.qq.com/s?__biz=MzUxOTMxNjk0OQ==&amp;mid=2247502129&amp;idx=2&amp;sn=8c050cbbac288d8b00b419d470a3fac8&amp;chksm=f9f9fd8bce8e749dd271dc501ba6146abe847c7244782f938fe95d6b20532371d43af6517bd7#rd</x:v>
      </x:c>
    </x:row>
    <x:row r="147">
      <x:c r="A147" s="36" t="d">
        <x:v>2025-05-26T00:00:00.000Z</x:v>
      </x:c>
      <x:c r="B147" s="48" t="n">
        <x:v>203.24</x:v>
      </x:c>
      <x:c r="C147" s="48" t="n">
        <x:v>86.75</x:v>
      </x:c>
      <x:c r="D147" s="48" t="n">
        <x:v>241.28</x:v>
      </x:c>
      <x:c r="E147" s="48" t="n">
        <x:v>112.07</x:v>
      </x:c>
      <x:c r="F147" s="48" t="n">
        <x:v>1000</x:v>
      </x:c>
      <x:c r="G147" s="48" t="n">
        <x:v>40</x:v>
      </x:c>
      <x:c r="H147" s="48" t="n">
        <x:v>1000</x:v>
      </x:c>
      <x:c r="I147" s="48" t="n">
        <x:v>40</x:v>
      </x:c>
      <x:c r="J147" s="48" t="n">
        <x:v>662.29</x:v>
      </x:c>
      <x:c r="K147" s="48" t="n">
        <x:v>40</x:v>
      </x:c>
      <x:c r="L147" s="48" t="n">
        <x:v>662.29</x:v>
      </x:c>
      <x:c r="M147" s="48" t="n">
        <x:v>40</x:v>
      </x:c>
      <x:c r="N147" s="48"/>
      <x:c r="O147" s="48"/>
      <x:c r="P147" s="48"/>
      <x:c r="Q147" s="48"/>
      <x:c r="R147" s="31" t="str">
        <x:v>ok</x:v>
      </x:c>
      <x:c r="S147" s="51" t="n">
        <x:v>0.9999788999557495</x:v>
      </x:c>
      <x:c r="T147" s="31" t="str">
        <x:v>https://mp.weixin.qq.com/s?__biz=MzUxOTMxNjk0OQ==&amp;mid=2247502131&amp;idx=1&amp;sn=66cf7b0d2b6c4b9a2e7f15a8fa680b56&amp;chksm=f9f9fd89ce8e749f6fbd6f9f092aed3f8be2d882dfe86c0bc2ab352fa39aac81ee1371273b94#rd</x:v>
      </x:c>
    </x:row>
    <x:row r="148">
      <x:c r="A148" s="36" t="d">
        <x:v>2025-05-27T00:00:00.000Z</x:v>
      </x:c>
      <x:c r="B148" s="48" t="n">
        <x:v>181.08</x:v>
      </x:c>
      <x:c r="C148" s="48" t="n">
        <x:v>80.77</x:v>
      </x:c>
      <x:c r="D148" s="48" t="n">
        <x:v>123.4</x:v>
      </x:c>
      <x:c r="E148" s="48" t="n">
        <x:v>72.55</x:v>
      </x:c>
      <x:c r="F148" s="48" t="n">
        <x:v>405</x:v>
      </x:c>
      <x:c r="G148" s="48" t="n">
        <x:v>40</x:v>
      </x:c>
      <x:c r="H148" s="48" t="n">
        <x:v>405</x:v>
      </x:c>
      <x:c r="I148" s="48" t="n">
        <x:v>40</x:v>
      </x:c>
      <x:c r="J148" s="48" t="n">
        <x:v>1000</x:v>
      </x:c>
      <x:c r="K148" s="48" t="n">
        <x:v>40</x:v>
      </x:c>
      <x:c r="L148" s="48" t="n">
        <x:v>1000</x:v>
      </x:c>
      <x:c r="M148" s="48" t="n">
        <x:v>40</x:v>
      </x:c>
      <x:c r="N148" s="48"/>
      <x:c r="O148" s="48"/>
      <x:c r="P148" s="48"/>
      <x:c r="Q148" s="48"/>
      <x:c r="R148" s="31" t="str">
        <x:v>ok</x:v>
      </x:c>
      <x:c r="S148" s="51" t="n">
        <x:v>0.9997230172157288</x:v>
      </x:c>
      <x:c r="T148" s="31" t="str">
        <x:v>https://mp.weixin.qq.com/s?__biz=MzUxOTMxNjk0OQ==&amp;mid=2247502147&amp;idx=2&amp;sn=c03bb6e07191ecd2ff98c3d00a9d1903&amp;chksm=f9f9fdf9ce8e74ef0adad7c3c4ff063932024a94f5c0611dd9bd9b76fc18114bb84db29b933f#rd</x:v>
      </x:c>
    </x:row>
    <x:row r="149">
      <x:c r="A149" s="36" t="d">
        <x:v>2025-05-28T00:00:00.000Z</x:v>
      </x:c>
      <x:c r="B149" s="48" t="n">
        <x:v>121.22</x:v>
      </x:c>
      <x:c r="C149" s="48" t="n">
        <x:v>51.29</x:v>
      </x:c>
      <x:c r="D149" s="48" t="n">
        <x:v>105.26</x:v>
      </x:c>
      <x:c r="E149" s="48" t="n">
        <x:v>50.32</x:v>
      </x:c>
      <x:c r="F149" s="48" t="n">
        <x:v>464</x:v>
      </x:c>
      <x:c r="G149" s="48" t="n">
        <x:v>40</x:v>
      </x:c>
      <x:c r="H149" s="48" t="n">
        <x:v>464</x:v>
      </x:c>
      <x:c r="I149" s="48" t="n">
        <x:v>40</x:v>
      </x:c>
      <x:c r="J149" s="48" t="n">
        <x:v>463.48</x:v>
      </x:c>
      <x:c r="K149" s="48" t="n">
        <x:v>40</x:v>
      </x:c>
      <x:c r="L149" s="48" t="n">
        <x:v>463.48</x:v>
      </x:c>
      <x:c r="M149" s="48" t="n">
        <x:v>40</x:v>
      </x:c>
      <x:c r="N149" s="48"/>
      <x:c r="O149" s="48"/>
      <x:c r="P149" s="48"/>
      <x:c r="Q149" s="48"/>
      <x:c r="R149" s="31" t="str">
        <x:v>ok</x:v>
      </x:c>
      <x:c r="S149" s="51" t="n">
        <x:v>0.9999974370002747</x:v>
      </x:c>
      <x:c r="T149" s="31" t="str">
        <x:v>https://mp.weixin.qq.com/s?__biz=MzUxOTMxNjk0OQ==&amp;mid=2247502158&amp;idx=1&amp;sn=13656b2a8ea6c2b521a0cee836764963&amp;chksm=f9f9fdf4ce8e74e2c9ff37ea2229b86bc100d5ab72685f140deee535c6ccb49e0aef53b208cb#rd</x:v>
      </x:c>
    </x:row>
    <x:row r="150">
      <x:c r="A150" s="36" t="d">
        <x:v>2025-05-29T00:00:00.000Z</x:v>
      </x:c>
      <x:c r="B150" s="48" t="n">
        <x:v>82.05</x:v>
      </x:c>
      <x:c r="C150" s="48" t="n">
        <x:v>53.4</x:v>
      </x:c>
      <x:c r="D150" s="48" t="n">
        <x:v>63.95</x:v>
      </x:c>
      <x:c r="E150" s="48" t="n">
        <x:v>49.02</x:v>
      </x:c>
      <x:c r="F150" s="48" t="n">
        <x:v>464</x:v>
      </x:c>
      <x:c r="G150" s="48" t="n">
        <x:v>40</x:v>
      </x:c>
      <x:c r="H150" s="48" t="n">
        <x:v>464</x:v>
      </x:c>
      <x:c r="I150" s="48" t="n">
        <x:v>40</x:v>
      </x:c>
      <x:c r="J150" s="48" t="n">
        <x:v>450</x:v>
      </x:c>
      <x:c r="K150" s="48" t="n">
        <x:v>40</x:v>
      </x:c>
      <x:c r="L150" s="48" t="n">
        <x:v>450</x:v>
      </x:c>
      <x:c r="M150" s="48" t="n">
        <x:v>40</x:v>
      </x:c>
      <x:c r="N150" s="48"/>
      <x:c r="O150" s="48"/>
      <x:c r="P150" s="48"/>
      <x:c r="Q150" s="48"/>
      <x:c r="R150" s="31" t="str">
        <x:v>ok</x:v>
      </x:c>
      <x:c r="S150" s="51" t="n">
        <x:v>0.9999978542327881</x:v>
      </x:c>
      <x:c r="T150" s="31" t="str">
        <x:v>https://mp.weixin.qq.com/s?__biz=MzUxOTMxNjk0OQ==&amp;mid=2247502169&amp;idx=1&amp;sn=f7c62218047038f262e1651a59730b4e&amp;chksm=f9f9fde3ce8e74f5fb23233a0fabb760f241cc62e78bccf475c7c0e2aee6897c6e1218935cee#rd</x:v>
      </x:c>
    </x:row>
    <x:row r="151">
      <x:c r="A151" s="36" t="d">
        <x:v>2025-05-30T00:00:00.000Z</x:v>
      </x:c>
      <x:c r="B151" s="48" t="n">
        <x:v>105.42</x:v>
      </x:c>
      <x:c r="C151" s="48" t="n">
        <x:v>138.67</x:v>
      </x:c>
      <x:c r="D151" s="48" t="n">
        <x:v>129.6</x:v>
      </x:c>
      <x:c r="E151" s="48" t="n">
        <x:v>243.9</x:v>
      </x:c>
      <x:c r="F151" s="48" t="n">
        <x:v>542.81</x:v>
      </x:c>
      <x:c r="G151" s="48" t="n">
        <x:v>40</x:v>
      </x:c>
      <x:c r="H151" s="48" t="n">
        <x:v>558.26</x:v>
      </x:c>
      <x:c r="I151" s="48" t="n">
        <x:v>40</x:v>
      </x:c>
      <x:c r="J151" s="48" t="n">
        <x:v>485</x:v>
      </x:c>
      <x:c r="K151" s="48" t="n">
        <x:v>40</x:v>
      </x:c>
      <x:c r="L151" s="48" t="n">
        <x:v>485</x:v>
      </x:c>
      <x:c r="M151" s="48" t="n">
        <x:v>40</x:v>
      </x:c>
      <x:c r="N151" s="48"/>
      <x:c r="O151" s="48"/>
      <x:c r="P151" s="48"/>
      <x:c r="Q151" s="48"/>
      <x:c r="R151" s="31" t="str">
        <x:v>ok</x:v>
      </x:c>
      <x:c r="S151" s="51" t="n">
        <x:v>0.999996542930603</x:v>
      </x:c>
      <x:c r="T151" s="31" t="str">
        <x:v>https://mp.weixin.qq.com/s?__biz=MzUxOTMxNjk0OQ==&amp;mid=2247502171&amp;idx=1&amp;sn=8d6b3ef0c765f8158e7d02d0e83889a9&amp;chksm=f9f9fde1ce8e74f78c8c6b09e0d99e51412febcd258530244da7c4a468ac4c0d17ff7b87eb7a#rd</x:v>
      </x:c>
    </x:row>
    <x:row r="152">
      <x:c r="A152" s="36" t="d">
        <x:v>2025-05-31T00:00:00.000Z</x:v>
      </x:c>
      <x:c r="B152" s="48" t="n">
        <x:v>159.08</x:v>
      </x:c>
      <x:c r="C152" s="48" t="n">
        <x:v>75.55</x:v>
      </x:c>
      <x:c r="D152" s="48" t="n">
        <x:v>180.96</x:v>
      </x:c>
      <x:c r="E152" s="48" t="n">
        <x:v>67.72</x:v>
      </x:c>
      <x:c r="F152" s="48" t="n">
        <x:v>459</x:v>
      </x:c>
      <x:c r="G152" s="48" t="n">
        <x:v>40</x:v>
      </x:c>
      <x:c r="H152" s="48" t="n">
        <x:v>459</x:v>
      </x:c>
      <x:c r="I152" s="48" t="n">
        <x:v>40</x:v>
      </x:c>
      <x:c r="J152" s="48" t="n">
        <x:v>457.41</x:v>
      </x:c>
      <x:c r="K152" s="48" t="n">
        <x:v>40</x:v>
      </x:c>
      <x:c r="L152" s="48" t="n">
        <x:v>457.41</x:v>
      </x:c>
      <x:c r="M152" s="48" t="n">
        <x:v>40</x:v>
      </x:c>
      <x:c r="N152" s="48"/>
      <x:c r="O152" s="48"/>
      <x:c r="P152" s="48"/>
      <x:c r="Q152" s="48"/>
      <x:c r="R152" s="31" t="str">
        <x:v>ok</x:v>
      </x:c>
      <x:c r="S152" s="51" t="n">
        <x:v>0.9999957084655762</x:v>
      </x:c>
      <x:c r="T152" s="31" t="str">
        <x:v>https://mp.weixin.qq.com/s?__biz=MzUxOTMxNjk0OQ==&amp;mid=2247502174&amp;idx=1&amp;sn=52bf73c303af54e2fa3497b50bf33c10&amp;chksm=f9f9fde4ce8e74f25913e1f1bf4d4d88a893907851002672db35f1c82fb91ddbb8565425a999#rd</x:v>
      </x:c>
    </x:row>
    <x:row r="153">
      <x:c r="A153" s="36" t="d">
        <x:v>2025-06-01T00:00:00.000Z</x:v>
      </x:c>
      <x:c r="B153" s="48" t="n">
        <x:v>262.83</x:v>
      </x:c>
      <x:c r="C153" s="48" t="n">
        <x:v>86.61</x:v>
      </x:c>
      <x:c r="D153" s="48" t="n">
        <x:v>348.53</x:v>
      </x:c>
      <x:c r="E153" s="48" t="n">
        <x:v>232.08</x:v>
      </x:c>
      <x:c r="F153" s="48" t="n">
        <x:v>1000</x:v>
      </x:c>
      <x:c r="G153" s="48" t="n">
        <x:v>40</x:v>
      </x:c>
      <x:c r="H153" s="48" t="n">
        <x:v>1000</x:v>
      </x:c>
      <x:c r="I153" s="48" t="n">
        <x:v>40</x:v>
      </x:c>
      <x:c r="J153" s="48" t="n">
        <x:v>1000</x:v>
      </x:c>
      <x:c r="K153" s="48" t="n">
        <x:v>40</x:v>
      </x:c>
      <x:c r="L153" s="48" t="n">
        <x:v>1000</x:v>
      </x:c>
      <x:c r="M153" s="48" t="n">
        <x:v>40</x:v>
      </x:c>
      <x:c r="N153" s="48"/>
      <x:c r="O153" s="48"/>
      <x:c r="P153" s="48"/>
      <x:c r="Q153" s="48"/>
      <x:c r="R153" s="31" t="str">
        <x:v>ok</x:v>
      </x:c>
      <x:c r="S153" s="51" t="n">
        <x:v>0.9999813437461853</x:v>
      </x:c>
      <x:c r="T153" s="31" t="str">
        <x:v>https://mp.weixin.qq.com/s?__biz=MzUxOTMxNjk0OQ==&amp;mid=2247502179&amp;idx=1&amp;sn=1d4b1ee632edb1e2755741342124ee20&amp;chksm=f9f9fdd9ce8e74cf9915c515aa6f89dca03523f34e824223771c1453c7d3df11d07d3e4e1fc3#rd</x:v>
      </x:c>
    </x:row>
    <x:row r="154">
      <x:c r="A154" s="36" t="d">
        <x:v>2025-06-02T00:00:00.000Z</x:v>
      </x:c>
      <x:c r="B154" s="48" t="n">
        <x:v>259.35</x:v>
      </x:c>
      <x:c r="C154" s="48" t="n">
        <x:v>67.69</x:v>
      </x:c>
      <x:c r="D154" s="48" t="n">
        <x:v>362.83</x:v>
      </x:c>
      <x:c r="E154" s="48" t="n">
        <x:v>58.72</x:v>
      </x:c>
      <x:c r="F154" s="48" t="n">
        <x:v>1000</x:v>
      </x:c>
      <x:c r="G154" s="48" t="n">
        <x:v>40</x:v>
      </x:c>
      <x:c r="H154" s="48" t="n">
        <x:v>1000</x:v>
      </x:c>
      <x:c r="I154" s="48" t="n">
        <x:v>40</x:v>
      </x:c>
      <x:c r="J154" s="48" t="n">
        <x:v>1000</x:v>
      </x:c>
      <x:c r="K154" s="48" t="n">
        <x:v>40</x:v>
      </x:c>
      <x:c r="L154" s="48" t="n">
        <x:v>1000</x:v>
      </x:c>
      <x:c r="M154" s="48" t="n">
        <x:v>40</x:v>
      </x:c>
      <x:c r="N154" s="48"/>
      <x:c r="O154" s="48"/>
      <x:c r="P154" s="48"/>
      <x:c r="Q154" s="48"/>
      <x:c r="R154" s="31" t="str">
        <x:v>ok</x:v>
      </x:c>
      <x:c r="S154" s="51" t="n">
        <x:v>0.9999801516532898</x:v>
      </x:c>
      <x:c r="T154" s="31" t="str">
        <x:v>https://mp.weixin.qq.com/s?__biz=MzUxOTMxNjk0OQ==&amp;mid=2247502213&amp;idx=3&amp;sn=3a34be96320a5583eb9b09594a48e1f9&amp;chksm=f9f9fd3fce8e742907ac62a4d8ba7c967f7bc01f36868dd303960ff62958215c696d00f89faa#rd</x:v>
      </x:c>
    </x:row>
    <x:row r="155">
      <x:c r="A155" s="36" t="d">
        <x:v>2025-06-03T00:00:00.000Z</x:v>
      </x:c>
      <x:c r="B155" s="48" t="n">
        <x:v>302.73</x:v>
      </x:c>
      <x:c r="C155" s="48" t="n">
        <x:v>81.43</x:v>
      </x:c>
      <x:c r="D155" s="48" t="n">
        <x:v>341.4</x:v>
      </x:c>
      <x:c r="E155" s="48" t="n">
        <x:v>114.65</x:v>
      </x:c>
      <x:c r="F155" s="48" t="n">
        <x:v>1000</x:v>
      </x:c>
      <x:c r="G155" s="48" t="n">
        <x:v>40</x:v>
      </x:c>
      <x:c r="H155" s="48" t="n">
        <x:v>1000</x:v>
      </x:c>
      <x:c r="I155" s="48" t="n">
        <x:v>40</x:v>
      </x:c>
      <x:c r="J155" s="48" t="n">
        <x:v>1000</x:v>
      </x:c>
      <x:c r="K155" s="48" t="n">
        <x:v>40</x:v>
      </x:c>
      <x:c r="L155" s="48" t="n">
        <x:v>1000</x:v>
      </x:c>
      <x:c r="M155" s="48" t="n">
        <x:v>40</x:v>
      </x:c>
      <x:c r="N155" s="48"/>
      <x:c r="O155" s="48"/>
      <x:c r="P155" s="48"/>
      <x:c r="Q155" s="48"/>
      <x:c r="R155" s="31" t="str">
        <x:v>ok</x:v>
      </x:c>
      <x:c r="S155" s="51" t="n">
        <x:v>0.9999686479568481</x:v>
      </x:c>
      <x:c r="T155" s="31" t="str">
        <x:v>https://mp.weixin.qq.com/s?__biz=MzUxOTMxNjk0OQ==&amp;mid=2247502223&amp;idx=1&amp;sn=82794e0ccba6702ec30aa469125dc89e&amp;chksm=f9f9fd35ce8e742356bf6a9dd6680faed333dac10bdb76ee1a864e2bbfa835e0a50ea7212852#rd</x:v>
      </x:c>
    </x:row>
    <x:row r="156">
      <x:c r="A156" s="36" t="d">
        <x:v>2025-06-04T00:00:00.000Z</x:v>
      </x:c>
      <x:c r="B156" s="48" t="n">
        <x:v>246.23</x:v>
      </x:c>
      <x:c r="C156" s="48" t="n">
        <x:v>77.78</x:v>
      </x:c>
      <x:c r="D156" s="48" t="n">
        <x:v>259.05</x:v>
      </x:c>
      <x:c r="E156" s="48" t="n">
        <x:v>73.39</x:v>
      </x:c>
      <x:c r="F156" s="48" t="n">
        <x:v>800</x:v>
      </x:c>
      <x:c r="G156" s="48" t="n">
        <x:v>40</x:v>
      </x:c>
      <x:c r="H156" s="48" t="n">
        <x:v>800</x:v>
      </x:c>
      <x:c r="I156" s="48" t="n">
        <x:v>40</x:v>
      </x:c>
      <x:c r="J156" s="48" t="n">
        <x:v>800</x:v>
      </x:c>
      <x:c r="K156" s="48" t="n">
        <x:v>40</x:v>
      </x:c>
      <x:c r="L156" s="48" t="n">
        <x:v>800</x:v>
      </x:c>
      <x:c r="M156" s="48" t="n">
        <x:v>40</x:v>
      </x:c>
      <x:c r="N156" s="48"/>
      <x:c r="O156" s="48"/>
      <x:c r="P156" s="48"/>
      <x:c r="Q156" s="48"/>
      <x:c r="R156" s="31" t="str">
        <x:v>ok</x:v>
      </x:c>
      <x:c r="S156" s="51" t="n">
        <x:v>0.9754282832145691</x:v>
      </x:c>
      <x:c r="T156" s="31" t="str">
        <x:v>https://mp.weixin.qq.com/s?__biz=MzUxOTMxNjk0OQ==&amp;mid=2247502233&amp;idx=2&amp;sn=7b625c86778b643969f5c85123b888a3&amp;chksm=f9f9fd23ce8e74355ba7ba5b584a4b9e4bb7bc18368191384f896a2c12f0422f8e9f77239440#rd</x:v>
      </x:c>
    </x:row>
    <x:row r="157">
      <x:c r="A157" s="36" t="d">
        <x:v>2025-06-05T00:00:00.000Z</x:v>
      </x:c>
      <x:c r="B157" s="48" t="n">
        <x:v>238.73</x:v>
      </x:c>
      <x:c r="C157" s="48" t="n">
        <x:v>81.5</x:v>
      </x:c>
      <x:c r="D157" s="48" t="n">
        <x:v>316.24</x:v>
      </x:c>
      <x:c r="E157" s="48" t="n">
        <x:v>96.62</x:v>
      </x:c>
      <x:c r="F157" s="48" t="n">
        <x:v>535.51</x:v>
      </x:c>
      <x:c r="G157" s="48" t="n">
        <x:v>40</x:v>
      </x:c>
      <x:c r="H157" s="48" t="n">
        <x:v>535.51</x:v>
      </x:c>
      <x:c r="I157" s="48" t="n">
        <x:v>40</x:v>
      </x:c>
      <x:c r="J157" s="48" t="n">
        <x:v>535.51</x:v>
      </x:c>
      <x:c r="K157" s="48" t="n">
        <x:v>40</x:v>
      </x:c>
      <x:c r="L157" s="48" t="n">
        <x:v>535.51</x:v>
      </x:c>
      <x:c r="M157" s="48" t="n">
        <x:v>40</x:v>
      </x:c>
      <x:c r="N157" s="48"/>
      <x:c r="O157" s="48"/>
      <x:c r="P157" s="48"/>
      <x:c r="Q157" s="48"/>
      <x:c r="R157" s="31" t="str">
        <x:v>ok</x:v>
      </x:c>
      <x:c r="S157" s="51" t="n">
        <x:v>0.9432220458984375</x:v>
      </x:c>
      <x:c r="T157" s="31" t="str">
        <x:v>https://mp.weixin.qq.com/s?__biz=MzUxOTMxNjk0OQ==&amp;mid=2247502241&amp;idx=3&amp;sn=3f5a7e7bbd8d8a3e8b6e75aac7710e5f&amp;chksm=f9f9fd1bce8e740d412f66cd1f7c4143496b608d0213f98da36b335b8322f04a356f00aabbb5#rd</x:v>
      </x:c>
    </x:row>
    <x:row r="158">
      <x:c r="A158" s="36" t="d">
        <x:v>2025-06-06T00:00:00.000Z</x:v>
      </x:c>
      <x:c r="B158" s="48" t="n">
        <x:v>167.47</x:v>
      </x:c>
      <x:c r="C158" s="48" t="n">
        <x:v>69.62</x:v>
      </x:c>
      <x:c r="D158" s="48" t="n">
        <x:v>233.14</x:v>
      </x:c>
      <x:c r="E158" s="48" t="n">
        <x:v>144.57</x:v>
      </x:c>
      <x:c r="F158" s="48" t="n">
        <x:v>535.51</x:v>
      </x:c>
      <x:c r="G158" s="48" t="n">
        <x:v>40</x:v>
      </x:c>
      <x:c r="H158" s="48" t="n">
        <x:v>535.51</x:v>
      </x:c>
      <x:c r="I158" s="48" t="n">
        <x:v>40</x:v>
      </x:c>
      <x:c r="J158" s="48" t="n">
        <x:v>535.51</x:v>
      </x:c>
      <x:c r="K158" s="48" t="n">
        <x:v>40</x:v>
      </x:c>
      <x:c r="L158" s="48" t="n">
        <x:v>535.51</x:v>
      </x:c>
      <x:c r="M158" s="48" t="n">
        <x:v>40</x:v>
      </x:c>
      <x:c r="N158" s="48"/>
      <x:c r="O158" s="48"/>
      <x:c r="P158" s="48"/>
      <x:c r="Q158" s="48"/>
      <x:c r="R158" s="31" t="str">
        <x:v>ok</x:v>
      </x:c>
      <x:c r="S158" s="51" t="n">
        <x:v>0.9999957084655762</x:v>
      </x:c>
      <x:c r="T158" s="31" t="str">
        <x:v>https://mp.weixin.qq.com/s?__biz=MzUxOTMxNjk0OQ==&amp;mid=2247502243&amp;idx=1&amp;sn=0d8f02a14ccbbc6c2743ff1014db518b&amp;chksm=f9f9fd19ce8e740f5799f224344ffca8d3fa1458043335ef0fc3281b6ddc5bc6f26fdff24b5c#rd</x:v>
      </x:c>
    </x:row>
    <x:row r="159">
      <x:c r="A159" s="36" t="d">
        <x:v>2025-06-07T00:00:00.000Z</x:v>
      </x:c>
      <x:c r="B159" s="48" t="n">
        <x:v>135.69</x:v>
      </x:c>
      <x:c r="C159" s="48" t="n">
        <x:v>126.34</x:v>
      </x:c>
      <x:c r="D159" s="48" t="n">
        <x:v>120.18</x:v>
      </x:c>
      <x:c r="E159" s="48" t="n">
        <x:v>116.74</x:v>
      </x:c>
      <x:c r="F159" s="48" t="n">
        <x:v>428</x:v>
      </x:c>
      <x:c r="G159" s="48" t="n">
        <x:v>40</x:v>
      </x:c>
      <x:c r="H159" s="48" t="n">
        <x:v>428</x:v>
      </x:c>
      <x:c r="I159" s="48" t="n">
        <x:v>40</x:v>
      </x:c>
      <x:c r="J159" s="48" t="n">
        <x:v>428</x:v>
      </x:c>
      <x:c r="K159" s="48" t="n">
        <x:v>40</x:v>
      </x:c>
      <x:c r="L159" s="48" t="n">
        <x:v>428</x:v>
      </x:c>
      <x:c r="M159" s="48" t="n">
        <x:v>40</x:v>
      </x:c>
      <x:c r="N159" s="48"/>
      <x:c r="O159" s="48"/>
      <x:c r="P159" s="48"/>
      <x:c r="Q159" s="48"/>
      <x:c r="R159" s="31" t="str">
        <x:v>ok</x:v>
      </x:c>
      <x:c r="S159" s="51" t="n">
        <x:v>0.9999973773956299</x:v>
      </x:c>
      <x:c r="T159" s="31" t="str">
        <x:v>https://mp.weixin.qq.com/s?__biz=MzUxOTMxNjk0OQ==&amp;mid=2247502247&amp;idx=1&amp;sn=3e32316849d8d9a0cd907e2126932197&amp;chksm=f9f9fd1dce8e740b6da9f2a2d6df6460cf53ac162c045dccd90783479aa953b1a80ab304d041#rd</x:v>
      </x:c>
    </x:row>
    <x:row r="160">
      <x:c r="A160" s="36" t="d">
        <x:v>2025-06-08T00:00:00.000Z</x:v>
      </x:c>
      <x:c r="B160" s="48" t="n">
        <x:v>168.33</x:v>
      </x:c>
      <x:c r="C160" s="48" t="n">
        <x:v>62.56</x:v>
      </x:c>
      <x:c r="D160" s="48" t="n">
        <x:v>194.23</x:v>
      </x:c>
      <x:c r="E160" s="48" t="n">
        <x:v>79.81</x:v>
      </x:c>
      <x:c r="F160" s="48" t="n">
        <x:v>403</x:v>
      </x:c>
      <x:c r="G160" s="48" t="n">
        <x:v>40</x:v>
      </x:c>
      <x:c r="H160" s="48" t="n">
        <x:v>403</x:v>
      </x:c>
      <x:c r="I160" s="48" t="n">
        <x:v>40</x:v>
      </x:c>
      <x:c r="J160" s="48" t="n">
        <x:v>409</x:v>
      </x:c>
      <x:c r="K160" s="48" t="n">
        <x:v>40</x:v>
      </x:c>
      <x:c r="L160" s="48" t="n">
        <x:v>409</x:v>
      </x:c>
      <x:c r="M160" s="48" t="n">
        <x:v>40</x:v>
      </x:c>
      <x:c r="N160" s="48"/>
      <x:c r="O160" s="48"/>
      <x:c r="P160" s="48"/>
      <x:c r="Q160" s="48"/>
      <x:c r="R160" s="31" t="str">
        <x:v>ok</x:v>
      </x:c>
      <x:c r="S160" s="51" t="n">
        <x:v>0.9999974370002747</x:v>
      </x:c>
      <x:c r="T160" s="31" t="str">
        <x:v>https://mp.weixin.qq.com/s?__biz=MzUxOTMxNjk0OQ==&amp;mid=2247502266&amp;idx=1&amp;sn=05d02bbaed6c132c03b059c21eb841dc&amp;chksm=f9f9fd00ce8e7416039e1d2e44e282b6daf70df7e162703c8076f8b0650a1760bb6c8bd9abab#rd</x:v>
      </x:c>
    </x:row>
    <x:row r="161">
      <x:c r="A161" s="36" t="d">
        <x:v>2025-06-09T00:00:00.000Z</x:v>
      </x:c>
      <x:c r="B161" s="48" t="n">
        <x:v>101.14</x:v>
      </x:c>
      <x:c r="C161" s="48" t="n">
        <x:v>64.85</x:v>
      </x:c>
      <x:c r="D161" s="48" t="n">
        <x:v>106.27</x:v>
      </x:c>
      <x:c r="E161" s="48" t="n">
        <x:v>85.02</x:v>
      </x:c>
      <x:c r="F161" s="48" t="n">
        <x:v>409</x:v>
      </x:c>
      <x:c r="G161" s="48" t="n">
        <x:v>40</x:v>
      </x:c>
      <x:c r="H161" s="48" t="n">
        <x:v>409</x:v>
      </x:c>
      <x:c r="I161" s="48" t="n">
        <x:v>40</x:v>
      </x:c>
      <x:c r="J161" s="48" t="n">
        <x:v>943.01</x:v>
      </x:c>
      <x:c r="K161" s="48" t="n">
        <x:v>40</x:v>
      </x:c>
      <x:c r="L161" s="48" t="n">
        <x:v>1000</x:v>
      </x:c>
      <x:c r="M161" s="48" t="n">
        <x:v>40</x:v>
      </x:c>
      <x:c r="N161" s="48"/>
      <x:c r="O161" s="48"/>
      <x:c r="P161" s="48"/>
      <x:c r="Q161" s="48"/>
      <x:c r="R161" s="31" t="str">
        <x:v>ok</x:v>
      </x:c>
      <x:c r="S161" s="51" t="n">
        <x:v>0.9996089339256287</x:v>
      </x:c>
      <x:c r="T161" s="31" t="str">
        <x:v>https://mp.weixin.qq.com/s?__biz=MzUxOTMxNjk0OQ==&amp;mid=2247502268&amp;idx=1&amp;sn=cf422ea6e5711557a1bed38ad79fd3be&amp;chksm=f9f9fd06ce8e7410e2ee649d7ea8b1537c356cbe4e034dd9f65532fe36fd91a3148faddaad4a#rd</x:v>
      </x:c>
    </x:row>
    <x:row r="162">
      <x:c r="A162" s="36" t="d">
        <x:v>2025-06-10T00:00:00.000Z</x:v>
      </x:c>
      <x:c r="B162" s="48" t="n">
        <x:v>137.6</x:v>
      </x:c>
      <x:c r="C162" s="48" t="n">
        <x:v>65.85</x:v>
      </x:c>
      <x:c r="D162" s="48" t="n">
        <x:v>205.72</x:v>
      </x:c>
      <x:c r="E162" s="48" t="n">
        <x:v>82.57</x:v>
      </x:c>
      <x:c r="F162" s="48" t="n">
        <x:v>405</x:v>
      </x:c>
      <x:c r="G162" s="48" t="n">
        <x:v>40</x:v>
      </x:c>
      <x:c r="H162" s="48" t="n">
        <x:v>405</x:v>
      </x:c>
      <x:c r="I162" s="48" t="n">
        <x:v>40</x:v>
      </x:c>
      <x:c r="J162" s="48" t="n">
        <x:v>414</x:v>
      </x:c>
      <x:c r="K162" s="48" t="n">
        <x:v>40</x:v>
      </x:c>
      <x:c r="L162" s="48" t="n">
        <x:v>414</x:v>
      </x:c>
      <x:c r="M162" s="48" t="n">
        <x:v>40</x:v>
      </x:c>
      <x:c r="N162" s="48"/>
      <x:c r="O162" s="48"/>
      <x:c r="P162" s="48"/>
      <x:c r="Q162" s="48"/>
      <x:c r="R162" s="31" t="str">
        <x:v>ok</x:v>
      </x:c>
      <x:c r="S162" s="51" t="n">
        <x:v>0.9992558360099792</x:v>
      </x:c>
      <x:c r="T162" s="31" t="str">
        <x:v>https://mp.weixin.qq.com/s?__biz=MzUxOTMxNjk0OQ==&amp;mid=2247502270&amp;idx=1&amp;sn=4fe97c3c6ba026416a9d5d227612099d&amp;chksm=f9f9fd04ce8e7412049a09f08d5ca4c87452eedcf2acbb8d2eefb4e9ecb860e050178bbceb09#rd</x:v>
      </x:c>
    </x:row>
    <x:row r="163">
      <x:c r="A163" s="36" t="d">
        <x:v>2025-06-11T00:00:00.000Z</x:v>
      </x:c>
      <x:c r="B163" s="48" t="n">
        <x:v>84.74</x:v>
      </x:c>
      <x:c r="C163" s="48" t="n">
        <x:v>61.29</x:v>
      </x:c>
      <x:c r="D163" s="48" t="n">
        <x:v>130.17</x:v>
      </x:c>
      <x:c r="E163" s="48" t="n">
        <x:v>67.83</x:v>
      </x:c>
      <x:c r="F163" s="48" t="n">
        <x:v>416</x:v>
      </x:c>
      <x:c r="G163" s="48" t="n">
        <x:v>40</x:v>
      </x:c>
      <x:c r="H163" s="48" t="n">
        <x:v>416</x:v>
      </x:c>
      <x:c r="I163" s="48" t="n">
        <x:v>40</x:v>
      </x:c>
      <x:c r="J163" s="48" t="n">
        <x:v>432</x:v>
      </x:c>
      <x:c r="K163" s="48" t="n">
        <x:v>40</x:v>
      </x:c>
      <x:c r="L163" s="48" t="n">
        <x:v>432</x:v>
      </x:c>
      <x:c r="M163" s="48" t="n">
        <x:v>40</x:v>
      </x:c>
      <x:c r="N163" s="48"/>
      <x:c r="O163" s="48"/>
      <x:c r="P163" s="48"/>
      <x:c r="Q163" s="48"/>
      <x:c r="R163" s="31" t="str">
        <x:v>ok</x:v>
      </x:c>
      <x:c r="S163" s="51" t="n">
        <x:v>0.9986475706100464</x:v>
      </x:c>
      <x:c r="T163" s="31" t="str">
        <x:v>https://mp.weixin.qq.com/s?__biz=MzUxOTMxNjk0OQ==&amp;mid=2247502286&amp;idx=1&amp;sn=6e58e9889d300757a64a39d168aa1665&amp;chksm=f9f9fd74ce8e74624ca10e2cc392b5d829f0b833178c2e4dc5809d705bc682248e128061d157#rd</x:v>
      </x:c>
    </x:row>
    <x:row r="164">
      <x:c r="A164" s="36" t="d">
        <x:v>2025-06-12T00:00:00.000Z</x:v>
      </x:c>
      <x:c r="B164" s="48" t="n">
        <x:v>104.83</x:v>
      </x:c>
      <x:c r="C164" s="48" t="n">
        <x:v>115.33</x:v>
      </x:c>
      <x:c r="D164" s="48" t="n">
        <x:v>100.44</x:v>
      </x:c>
      <x:c r="E164" s="48" t="n">
        <x:v>132.42</x:v>
      </x:c>
      <x:c r="F164" s="48" t="n">
        <x:v>1000</x:v>
      </x:c>
      <x:c r="G164" s="48" t="n">
        <x:v>40</x:v>
      </x:c>
      <x:c r="H164" s="48" t="n">
        <x:v>1000</x:v>
      </x:c>
      <x:c r="I164" s="48" t="n">
        <x:v>40</x:v>
      </x:c>
      <x:c r="J164" s="48" t="n">
        <x:v>1000</x:v>
      </x:c>
      <x:c r="K164" s="48" t="n">
        <x:v>40</x:v>
      </x:c>
      <x:c r="L164" s="48" t="n">
        <x:v>1000</x:v>
      </x:c>
      <x:c r="M164" s="48" t="n">
        <x:v>40</x:v>
      </x:c>
      <x:c r="N164" s="48"/>
      <x:c r="O164" s="48"/>
      <x:c r="P164" s="48"/>
      <x:c r="Q164" s="48"/>
      <x:c r="R164" s="31" t="str">
        <x:v>ok</x:v>
      </x:c>
      <x:c r="S164" s="51" t="n">
        <x:v>0.9383484721183777</x:v>
      </x:c>
      <x:c r="T164" s="31" t="str">
        <x:v>https://mp.weixin.qq.com/s?__biz=MzUxOTMxNjk0OQ==&amp;mid=2247502288&amp;idx=1&amp;sn=fcf796c92d898ede37457ba054c80863&amp;chksm=f9f9fd6ace8e747c77eb97eb823ca8926532a6942973342074b4252c5ca6e86cc2c68bb0a84d#rd</x:v>
      </x:c>
    </x:row>
    <x:row r="165">
      <x:c r="A165" s="36" t="d">
        <x:v>2025-06-13T00:00:00.000Z</x:v>
      </x:c>
      <x:c r="B165" s="48" t="n">
        <x:v>239.34</x:v>
      </x:c>
      <x:c r="C165" s="48" t="n">
        <x:v>102.95</x:v>
      </x:c>
      <x:c r="D165" s="48" t="n">
        <x:v>262.53</x:v>
      </x:c>
      <x:c r="E165" s="48" t="n">
        <x:v>143.25</x:v>
      </x:c>
      <x:c r="F165" s="48" t="n">
        <x:v>1000</x:v>
      </x:c>
      <x:c r="G165" s="48" t="n">
        <x:v>40</x:v>
      </x:c>
      <x:c r="H165" s="48" t="n">
        <x:v>1000</x:v>
      </x:c>
      <x:c r="I165" s="48" t="n">
        <x:v>40</x:v>
      </x:c>
      <x:c r="J165" s="48" t="n">
        <x:v>1000</x:v>
      </x:c>
      <x:c r="K165" s="48" t="n">
        <x:v>40</x:v>
      </x:c>
      <x:c r="L165" s="48" t="n">
        <x:v>1000</x:v>
      </x:c>
      <x:c r="M165" s="48" t="n">
        <x:v>40</x:v>
      </x:c>
      <x:c r="N165" s="48"/>
      <x:c r="O165" s="48"/>
      <x:c r="P165" s="48"/>
      <x:c r="Q165" s="48"/>
      <x:c r="R165" s="31" t="str">
        <x:v>ok</x:v>
      </x:c>
      <x:c r="S165" s="51" t="n">
        <x:v>0.9999517202377319</x:v>
      </x:c>
      <x:c r="T165" s="31" t="str">
        <x:v>https://mp.weixin.qq.com/s?__biz=MzUxOTMxNjk0OQ==&amp;mid=2247502290&amp;idx=1&amp;sn=790c1c154000cfcb1e3054dacb512615&amp;chksm=f9f9fd68ce8e747e00a873fdd6f11c113441087477e809145b4895d745f4a15d81145f86188d#rd</x:v>
      </x:c>
    </x:row>
    <x:row r="166">
      <x:c r="A166" s="36" t="d">
        <x:v>2025-06-14T00:00:00.000Z</x:v>
      </x:c>
      <x:c r="B166" s="48" t="n">
        <x:v>124.1</x:v>
      </x:c>
      <x:c r="C166" s="48" t="n">
        <x:v>97.77</x:v>
      </x:c>
      <x:c r="D166" s="48" t="n">
        <x:v>102.8</x:v>
      </x:c>
      <x:c r="E166" s="48" t="n">
        <x:v>42.74</x:v>
      </x:c>
      <x:c r="F166" s="48" t="n">
        <x:v>1000</x:v>
      </x:c>
      <x:c r="G166" s="48" t="n">
        <x:v>40</x:v>
      </x:c>
      <x:c r="H166" s="48" t="n">
        <x:v>1000</x:v>
      </x:c>
      <x:c r="I166" s="48" t="n">
        <x:v>40</x:v>
      </x:c>
      <x:c r="J166" s="48" t="n">
        <x:v>399</x:v>
      </x:c>
      <x:c r="K166" s="48" t="n">
        <x:v>40</x:v>
      </x:c>
      <x:c r="L166" s="48" t="n">
        <x:v>399</x:v>
      </x:c>
      <x:c r="M166" s="48" t="n">
        <x:v>40</x:v>
      </x:c>
      <x:c r="N166" s="48"/>
      <x:c r="O166" s="48"/>
      <x:c r="P166" s="48"/>
      <x:c r="Q166" s="48"/>
      <x:c r="R166" s="31" t="str">
        <x:v>ok</x:v>
      </x:c>
      <x:c r="S166" s="51" t="n">
        <x:v>0.9999827742576599</x:v>
      </x:c>
      <x:c r="T166" s="31" t="str">
        <x:v>https://mp.weixin.qq.com/s?__biz=MzUxOTMxNjk0OQ==&amp;mid=2247502323&amp;idx=2&amp;sn=8fdd58cd5d3cbbb114acc18b3ed4c86c&amp;chksm=f9f9fd49ce8e745f3c98e5fe9c9e2b3f018843de680a24aa4718466cac820a840c44148e317e#rd</x:v>
      </x:c>
    </x:row>
    <x:row r="167">
      <x:c r="A167" s="36" t="d">
        <x:v>2025-06-15T00:00:00.000Z</x:v>
      </x:c>
      <x:c r="B167" s="48" t="n">
        <x:v>88.8</x:v>
      </x:c>
      <x:c r="C167" s="48" t="n">
        <x:v>48.36</x:v>
      </x:c>
      <x:c r="D167" s="48" t="n">
        <x:v>61.19</x:v>
      </x:c>
      <x:c r="E167" s="48" t="n">
        <x:v>44.51</x:v>
      </x:c>
      <x:c r="F167" s="48" t="n">
        <x:v>1000</x:v>
      </x:c>
      <x:c r="G167" s="48" t="n">
        <x:v>40</x:v>
      </x:c>
      <x:c r="H167" s="48" t="n">
        <x:v>1000</x:v>
      </x:c>
      <x:c r="I167" s="48" t="n">
        <x:v>40</x:v>
      </x:c>
      <x:c r="J167" s="48" t="n">
        <x:v>418</x:v>
      </x:c>
      <x:c r="K167" s="48" t="n">
        <x:v>40</x:v>
      </x:c>
      <x:c r="L167" s="48" t="n">
        <x:v>418</x:v>
      </x:c>
      <x:c r="M167" s="48" t="n">
        <x:v>40</x:v>
      </x:c>
      <x:c r="N167" s="48"/>
      <x:c r="O167" s="48"/>
      <x:c r="P167" s="48"/>
      <x:c r="Q167" s="48"/>
      <x:c r="R167" s="31" t="str">
        <x:v>ok</x:v>
      </x:c>
      <x:c r="S167" s="51" t="n">
        <x:v>0.9999796748161316</x:v>
      </x:c>
      <x:c r="T167" s="31" t="str">
        <x:v>https://mp.weixin.qq.com/s?__biz=MzUxOTMxNjk0OQ==&amp;mid=2247502376&amp;idx=1&amp;sn=e3b3146eaff4e9f805f808c9de64a389&amp;chksm=f9f9fe92ce8e778493ffab6e73706afc910bbe693bfaeea720cae3b087d1ec37bafebaa8f91c#rd</x:v>
      </x:c>
    </x:row>
    <x:row r="168">
      <x:c r="A168" s="36" t="d">
        <x:v>2025-06-16T00:00:00.000Z</x:v>
      </x:c>
      <x:c r="B168" s="48" t="n">
        <x:v>153.04</x:v>
      </x:c>
      <x:c r="C168" s="48" t="n">
        <x:v>55.31</x:v>
      </x:c>
      <x:c r="D168" s="48" t="n">
        <x:v>157.15</x:v>
      </x:c>
      <x:c r="E168" s="48" t="n">
        <x:v>72.1</x:v>
      </x:c>
      <x:c r="F168" s="48" t="n">
        <x:v>1000</x:v>
      </x:c>
      <x:c r="G168" s="48" t="n">
        <x:v>40</x:v>
      </x:c>
      <x:c r="H168" s="48" t="n">
        <x:v>1000</x:v>
      </x:c>
      <x:c r="I168" s="48" t="n">
        <x:v>40</x:v>
      </x:c>
      <x:c r="J168" s="48" t="n">
        <x:v>1000</x:v>
      </x:c>
      <x:c r="K168" s="48" t="n">
        <x:v>40</x:v>
      </x:c>
      <x:c r="L168" s="48" t="n">
        <x:v>1000</x:v>
      </x:c>
      <x:c r="M168" s="48" t="n">
        <x:v>40</x:v>
      </x:c>
      <x:c r="N168" s="48"/>
      <x:c r="O168" s="48"/>
      <x:c r="P168" s="48"/>
      <x:c r="Q168" s="48"/>
      <x:c r="R168" s="31" t="str">
        <x:v>ok</x:v>
      </x:c>
      <x:c r="S168" s="51" t="n">
        <x:v>0.9999809265136719</x:v>
      </x:c>
      <x:c r="T168" s="31" t="str">
        <x:v>https://mp.weixin.qq.com/s?__biz=MzUxOTMxNjk0OQ==&amp;mid=2247502390&amp;idx=4&amp;sn=df5d62abc03cd9057b9eab108452e087&amp;chksm=f9f9fe8cce8e779ac855458a36709b9ef8aa4d04a5cc4a776eb5b29fbd2a46c781443298eb4d#rd</x:v>
      </x:c>
    </x:row>
    <x:row r="169">
      <x:c r="A169" s="36" t="d">
        <x:v>2025-06-17T00:00:00.000Z</x:v>
      </x:c>
      <x:c r="B169" s="48" t="n">
        <x:v>204.88</x:v>
      </x:c>
      <x:c r="C169" s="48" t="n">
        <x:v>161.94</x:v>
      </x:c>
      <x:c r="D169" s="48" t="n">
        <x:v>166.39</x:v>
      </x:c>
      <x:c r="E169" s="48" t="n">
        <x:v>161.85</x:v>
      </x:c>
      <x:c r="F169" s="48" t="n">
        <x:v>1000</x:v>
      </x:c>
      <x:c r="G169" s="48" t="n">
        <x:v>40</x:v>
      </x:c>
      <x:c r="H169" s="48" t="n">
        <x:v>1000</x:v>
      </x:c>
      <x:c r="I169" s="48" t="n">
        <x:v>40</x:v>
      </x:c>
      <x:c r="J169" s="48" t="n">
        <x:v>1000</x:v>
      </x:c>
      <x:c r="K169" s="48" t="n">
        <x:v>40</x:v>
      </x:c>
      <x:c r="L169" s="48" t="n">
        <x:v>1000</x:v>
      </x:c>
      <x:c r="M169" s="48" t="n">
        <x:v>40</x:v>
      </x:c>
      <x:c r="N169" s="48"/>
      <x:c r="O169" s="48"/>
      <x:c r="P169" s="48"/>
      <x:c r="Q169" s="48"/>
      <x:c r="R169" s="31" t="str">
        <x:v>ok</x:v>
      </x:c>
      <x:c r="S169" s="51" t="n">
        <x:v>0.9571423530578613</x:v>
      </x:c>
      <x:c r="T169" s="31" t="str">
        <x:v>https://mp.weixin.qq.com/s?__biz=MzUxOTMxNjk0OQ==&amp;mid=2247502392&amp;idx=1&amp;sn=61d7258fff66c7923a5324f205082a3d&amp;chksm=f9f9fe82ce8e7794d68c73921f267d8e5a7d5c8e0deb1d12c19fc8d74f7ab65018c54d9ad2f5#rd</x:v>
      </x:c>
    </x:row>
    <x:row r="170">
      <x:c r="A170" s="36" t="d">
        <x:v>2025-06-18T00:00:00.000Z</x:v>
      </x:c>
      <x:c r="B170" s="48" t="n">
        <x:v>95.71</x:v>
      </x:c>
      <x:c r="C170" s="48" t="n">
        <x:v>115.84</x:v>
      </x:c>
      <x:c r="D170" s="48" t="n">
        <x:v>170.62</x:v>
      </x:c>
      <x:c r="E170" s="48" t="n">
        <x:v>190.17</x:v>
      </x:c>
      <x:c r="F170" s="48" t="n">
        <x:v>419</x:v>
      </x:c>
      <x:c r="G170" s="48" t="n">
        <x:v>40</x:v>
      </x:c>
      <x:c r="H170" s="48" t="n">
        <x:v>419</x:v>
      </x:c>
      <x:c r="I170" s="48" t="n">
        <x:v>40</x:v>
      </x:c>
      <x:c r="J170" s="48" t="n">
        <x:v>1000</x:v>
      </x:c>
      <x:c r="K170" s="48" t="n">
        <x:v>40</x:v>
      </x:c>
      <x:c r="L170" s="48" t="n">
        <x:v>1000</x:v>
      </x:c>
      <x:c r="M170" s="48" t="n">
        <x:v>40</x:v>
      </x:c>
      <x:c r="N170" s="48"/>
      <x:c r="O170" s="48"/>
      <x:c r="P170" s="48"/>
      <x:c r="Q170" s="48"/>
      <x:c r="R170" s="31" t="str">
        <x:v>ok</x:v>
      </x:c>
      <x:c r="S170" s="51" t="n">
        <x:v>0.9999803900718689</x:v>
      </x:c>
      <x:c r="T170" s="31" t="str">
        <x:v>https://mp.weixin.qq.com/s?__biz=MzUxOTMxNjk0OQ==&amp;mid=2247502414&amp;idx=2&amp;sn=ad04598570bd829153baff363b3cfd49&amp;chksm=f9f9fef4ce8e77e2cf0580cc3054f0b830764e805d93a8f6796bc99f171a3c55c6ff9a11225f#rd</x:v>
      </x:c>
    </x:row>
    <x:row r="171">
      <x:c r="A171" s="36" t="d">
        <x:v>2025-06-19T00:00:00.000Z</x:v>
      </x:c>
      <x:c r="B171" s="48" t="n">
        <x:v>250.31</x:v>
      </x:c>
      <x:c r="C171" s="48" t="n">
        <x:v>163.12</x:v>
      </x:c>
      <x:c r="D171" s="48" t="n">
        <x:v>319.66</x:v>
      </x:c>
      <x:c r="E171" s="48" t="n">
        <x:v>231.25</x:v>
      </x:c>
      <x:c r="F171" s="48" t="n">
        <x:v>494.96</x:v>
      </x:c>
      <x:c r="G171" s="48" t="n">
        <x:v>40</x:v>
      </x:c>
      <x:c r="H171" s="48" t="n">
        <x:v>494.96</x:v>
      </x:c>
      <x:c r="I171" s="48" t="n">
        <x:v>40</x:v>
      </x:c>
      <x:c r="J171" s="48" t="n">
        <x:v>1000</x:v>
      </x:c>
      <x:c r="K171" s="48" t="n">
        <x:v>40</x:v>
      </x:c>
      <x:c r="L171" s="48" t="n">
        <x:v>1000</x:v>
      </x:c>
      <x:c r="M171" s="48" t="n">
        <x:v>40</x:v>
      </x:c>
      <x:c r="N171" s="48"/>
      <x:c r="O171" s="48"/>
      <x:c r="P171" s="48"/>
      <x:c r="Q171" s="48"/>
      <x:c r="R171" s="31" t="str">
        <x:v>ok</x:v>
      </x:c>
      <x:c r="S171" s="51" t="n">
        <x:v>0.999979555606842</x:v>
      </x:c>
      <x:c r="T171" s="31" t="str">
        <x:v>https://mp.weixin.qq.com/s?__biz=MzUxOTMxNjk0OQ==&amp;mid=2247502416&amp;idx=1&amp;sn=f7dccd6bcfcd50d39bb539e61a6fc952&amp;chksm=f9f9feeace8e77fc150b36ef5cc039618966acc695bf72a5fa2358b696511ca832911d5adc0c#rd</x:v>
      </x:c>
    </x:row>
    <x:row r="172">
      <x:c r="A172" s="36" t="d">
        <x:v>2025-06-20T00:00:00.000Z</x:v>
      </x:c>
      <x:c r="B172" s="48" t="n">
        <x:v>189.97</x:v>
      </x:c>
      <x:c r="C172" s="48" t="n">
        <x:v>130.15</x:v>
      </x:c>
      <x:c r="D172" s="48" t="n">
        <x:v>277.71</x:v>
      </x:c>
      <x:c r="E172" s="48" t="n">
        <x:v>206.21</x:v>
      </x:c>
      <x:c r="F172" s="48" t="n">
        <x:v>557.49</x:v>
      </x:c>
      <x:c r="G172" s="48" t="n">
        <x:v>40</x:v>
      </x:c>
      <x:c r="H172" s="48" t="n">
        <x:v>557.48</x:v>
      </x:c>
      <x:c r="I172" s="48" t="n">
        <x:v>40</x:v>
      </x:c>
      <x:c r="J172" s="48" t="n">
        <x:v>1000</x:v>
      </x:c>
      <x:c r="K172" s="48" t="n">
        <x:v>40</x:v>
      </x:c>
      <x:c r="L172" s="48" t="n">
        <x:v>1000</x:v>
      </x:c>
      <x:c r="M172" s="48" t="n">
        <x:v>40</x:v>
      </x:c>
      <x:c r="N172" s="48"/>
      <x:c r="O172" s="48"/>
      <x:c r="P172" s="48"/>
      <x:c r="Q172" s="48"/>
      <x:c r="R172" s="31" t="str">
        <x:v>ok</x:v>
      </x:c>
      <x:c r="S172" s="51" t="n">
        <x:v>0.9999604225158691</x:v>
      </x:c>
      <x:c r="T172" s="31" t="str">
        <x:v>https://mp.weixin.qq.com/s?__biz=MzUxOTMxNjk0OQ==&amp;mid=2247502418&amp;idx=1&amp;sn=afde44f4e7241da51b72ea690698f4c6&amp;chksm=f9f9fee8ce8e77fef9731f3afb0b30b2e8c33f53f985c7bd6e46513e137ec4c8b5f8ae1854bd#rd</x:v>
      </x:c>
    </x:row>
    <x:row r="173">
      <x:c r="A173" s="36" t="d">
        <x:v>2025-06-21T00:00:00.000Z</x:v>
      </x:c>
      <x:c r="B173" s="48" t="n">
        <x:v>198.14</x:v>
      </x:c>
      <x:c r="C173" s="48" t="n">
        <x:v>74.7</x:v>
      </x:c>
      <x:c r="D173" s="48" t="n">
        <x:v>291.61</x:v>
      </x:c>
      <x:c r="E173" s="48" t="n">
        <x:v>98.31</x:v>
      </x:c>
      <x:c r="F173" s="48" t="n">
        <x:v>604.32</x:v>
      </x:c>
      <x:c r="G173" s="48" t="n">
        <x:v>40</x:v>
      </x:c>
      <x:c r="H173" s="48" t="n">
        <x:v>604.32</x:v>
      </x:c>
      <x:c r="I173" s="48" t="n">
        <x:v>40</x:v>
      </x:c>
      <x:c r="J173" s="48" t="n">
        <x:v>1000</x:v>
      </x:c>
      <x:c r="K173" s="48" t="n">
        <x:v>40</x:v>
      </x:c>
      <x:c r="L173" s="48" t="n">
        <x:v>1000</x:v>
      </x:c>
      <x:c r="M173" s="48" t="n">
        <x:v>40</x:v>
      </x:c>
      <x:c r="N173" s="48"/>
      <x:c r="O173" s="48"/>
      <x:c r="P173" s="48"/>
      <x:c r="Q173" s="48"/>
      <x:c r="R173" s="31" t="str">
        <x:v>ok</x:v>
      </x:c>
      <x:c r="S173" s="51" t="n">
        <x:v>0.9999809861183167</x:v>
      </x:c>
      <x:c r="T173" s="31" t="str">
        <x:v>https://mp.weixin.qq.com/s?__biz=MzUxOTMxNjk0OQ==&amp;mid=2247502429&amp;idx=1&amp;sn=2e4c984aa11322e09c9a5d9a36fa5481&amp;chksm=f9f9fee7ce8e77f11ca0ffbde491e0b45091ec4a656de500f4ab721613141ae0195941d3902e#rd</x:v>
      </x:c>
    </x:row>
    <x:row r="174">
      <x:c r="A174" s="36" t="d">
        <x:v>2025-06-22T00:00:00.000Z</x:v>
      </x:c>
      <x:c r="B174" s="48" t="n">
        <x:v>253.11</x:v>
      </x:c>
      <x:c r="C174" s="48" t="n">
        <x:v>77.15</x:v>
      </x:c>
      <x:c r="D174" s="48" t="n">
        <x:v>231.74</x:v>
      </x:c>
      <x:c r="E174" s="48" t="n">
        <x:v>89.14</x:v>
      </x:c>
      <x:c r="F174" s="48" t="n">
        <x:v>1000</x:v>
      </x:c>
      <x:c r="G174" s="48" t="n">
        <x:v>40</x:v>
      </x:c>
      <x:c r="H174" s="48" t="n">
        <x:v>1000</x:v>
      </x:c>
      <x:c r="I174" s="48" t="n">
        <x:v>40</x:v>
      </x:c>
      <x:c r="J174" s="48" t="n">
        <x:v>450</x:v>
      </x:c>
      <x:c r="K174" s="48" t="n">
        <x:v>40</x:v>
      </x:c>
      <x:c r="L174" s="48" t="n">
        <x:v>450</x:v>
      </x:c>
      <x:c r="M174" s="48" t="n">
        <x:v>40</x:v>
      </x:c>
      <x:c r="N174" s="48"/>
      <x:c r="O174" s="48"/>
      <x:c r="P174" s="48"/>
      <x:c r="Q174" s="48"/>
      <x:c r="R174" s="31" t="str">
        <x:v>ok</x:v>
      </x:c>
      <x:c r="S174" s="51" t="n">
        <x:v>0.9989799857139587</x:v>
      </x:c>
      <x:c r="T174" s="31" t="str">
        <x:v>https://mp.weixin.qq.com/s?__biz=MzUxOTMxNjk0OQ==&amp;mid=2247502450&amp;idx=2&amp;sn=292dacba0232910da5ec1eb21d9876df&amp;chksm=f9f9fec8ce8e77ded90cec01f054d9de80bab73995fab0b4413e6c0f5ea91cdcca3428cb3658#rd</x:v>
      </x:c>
    </x:row>
    <x:row r="175">
      <x:c r="A175" s="36" t="d">
        <x:v>2025-06-23T00:00:00.000Z</x:v>
      </x:c>
      <x:c r="B175" s="48" t="n">
        <x:v>198.35</x:v>
      </x:c>
      <x:c r="C175" s="48" t="n">
        <x:v>71.61</x:v>
      </x:c>
      <x:c r="D175" s="48" t="n">
        <x:v>206.36</x:v>
      </x:c>
      <x:c r="E175" s="48" t="n">
        <x:v>83.65</x:v>
      </x:c>
      <x:c r="F175" s="48" t="n">
        <x:v>450</x:v>
      </x:c>
      <x:c r="G175" s="48" t="n">
        <x:v>40</x:v>
      </x:c>
      <x:c r="H175" s="48" t="n">
        <x:v>450</x:v>
      </x:c>
      <x:c r="I175" s="48" t="n">
        <x:v>40</x:v>
      </x:c>
      <x:c r="J175" s="48" t="n">
        <x:v>447</x:v>
      </x:c>
      <x:c r="K175" s="48" t="n">
        <x:v>40</x:v>
      </x:c>
      <x:c r="L175" s="48" t="n">
        <x:v>447</x:v>
      </x:c>
      <x:c r="M175" s="48" t="n">
        <x:v>40</x:v>
      </x:c>
      <x:c r="N175" s="48"/>
      <x:c r="O175" s="48"/>
      <x:c r="P175" s="48"/>
      <x:c r="Q175" s="48"/>
      <x:c r="R175" s="31" t="str">
        <x:v>ok</x:v>
      </x:c>
      <x:c r="S175" s="51" t="n">
        <x:v>0.9999930262565613</x:v>
      </x:c>
      <x:c r="T175" s="31" t="str">
        <x:v>https://mp.weixin.qq.com/s?__biz=MzUxOTMxNjk0OQ==&amp;mid=2247502504&amp;idx=3&amp;sn=287839196c8b414b07020aae8a9cc789&amp;chksm=f9f9fe12ce8e77048cb28d11f82cecfd4e35368dd7ee8e45131f743dc184c0a94dbafb8fc509#rd</x:v>
      </x:c>
    </x:row>
    <x:row r="176">
      <x:c r="A176" s="36" t="d">
        <x:v>2025-06-24T00:00:00.000Z</x:v>
      </x:c>
      <x:c r="B176" s="48" t="n">
        <x:v>181.81</x:v>
      </x:c>
      <x:c r="C176" s="48" t="n">
        <x:v>77.56</x:v>
      </x:c>
      <x:c r="D176" s="48" t="n">
        <x:v>201.21</x:v>
      </x:c>
      <x:c r="E176" s="48" t="n">
        <x:v>120.21</x:v>
      </x:c>
      <x:c r="F176" s="48" t="n">
        <x:v>445</x:v>
      </x:c>
      <x:c r="G176" s="48" t="n">
        <x:v>40</x:v>
      </x:c>
      <x:c r="H176" s="48" t="n">
        <x:v>445</x:v>
      </x:c>
      <x:c r="I176" s="48" t="n">
        <x:v>40</x:v>
      </x:c>
      <x:c r="J176" s="48" t="n">
        <x:v>1000</x:v>
      </x:c>
      <x:c r="K176" s="48" t="n">
        <x:v>40</x:v>
      </x:c>
      <x:c r="L176" s="48" t="n">
        <x:v>1000</x:v>
      </x:c>
      <x:c r="M176" s="48" t="n">
        <x:v>40</x:v>
      </x:c>
      <x:c r="N176" s="48"/>
      <x:c r="O176" s="48"/>
      <x:c r="P176" s="48"/>
      <x:c r="Q176" s="48"/>
      <x:c r="R176" s="31" t="str">
        <x:v>ok</x:v>
      </x:c>
      <x:c r="S176" s="51" t="n">
        <x:v>0.9999823570251465</x:v>
      </x:c>
      <x:c r="T176" s="31" t="str">
        <x:v>https://mp.weixin.qq.com/s?__biz=MzUxOTMxNjk0OQ==&amp;mid=2247502509&amp;idx=3&amp;sn=009c549e3aac5cf7fafb45314b3f4dfb&amp;chksm=f9f9fe17ce8e770180f4ea44ff4ddcd8b3bdd1b09328cd823ca115fa43108c7d159e3ea9e932#rd</x:v>
      </x:c>
    </x:row>
    <x:row r="177">
      <x:c r="A177" s="36" t="d">
        <x:v>2025-06-25T00:00:00.000Z</x:v>
      </x:c>
      <x:c r="B177" s="48" t="n">
        <x:v>220.8</x:v>
      </x:c>
      <x:c r="C177" s="48" t="n">
        <x:v>171.62</x:v>
      </x:c>
      <x:c r="D177" s="48" t="n">
        <x:v>210.43</x:v>
      </x:c>
      <x:c r="E177" s="48" t="n">
        <x:v>157.45</x:v>
      </x:c>
      <x:c r="F177" s="48" t="n">
        <x:v>1000</x:v>
      </x:c>
      <x:c r="G177" s="48" t="n">
        <x:v>40</x:v>
      </x:c>
      <x:c r="H177" s="48" t="n">
        <x:v>1000</x:v>
      </x:c>
      <x:c r="I177" s="48" t="n">
        <x:v>40</x:v>
      </x:c>
      <x:c r="J177" s="48" t="n">
        <x:v>384</x:v>
      </x:c>
      <x:c r="K177" s="48" t="n">
        <x:v>40</x:v>
      </x:c>
      <x:c r="L177" s="48" t="n">
        <x:v>384</x:v>
      </x:c>
      <x:c r="M177" s="48" t="n">
        <x:v>40</x:v>
      </x:c>
      <x:c r="N177" s="48"/>
      <x:c r="O177" s="48"/>
      <x:c r="P177" s="48"/>
      <x:c r="Q177" s="48"/>
      <x:c r="R177" s="31" t="str">
        <x:v>ok</x:v>
      </x:c>
      <x:c r="S177" s="51" t="n">
        <x:v>0.9999806880950928</x:v>
      </x:c>
      <x:c r="T177" s="31" t="str">
        <x:v>https://mp.weixin.qq.com/s?__biz=MzUxOTMxNjk0OQ==&amp;mid=2247502559&amp;idx=5&amp;sn=2ab47f56fdadc2220c7790ebc3954213&amp;chksm=f9f9fe65ce8e77739a2773790f9507eba415dd3530c9ba701a6abf22b35e754db810e0dbf49c#rd</x:v>
      </x:c>
    </x:row>
    <x:row r="178">
      <x:c r="A178" s="36" t="d">
        <x:v>2025-06-26T00:00:00.000Z</x:v>
      </x:c>
      <x:c r="B178" s="48" t="n">
        <x:v>197.65</x:v>
      </x:c>
      <x:c r="C178" s="48" t="n">
        <x:v>63.39</x:v>
      </x:c>
      <x:c r="D178" s="48" t="n">
        <x:v>251.63</x:v>
      </x:c>
      <x:c r="E178" s="48" t="n">
        <x:v>117.01</x:v>
      </x:c>
      <x:c r="F178" s="48" t="n">
        <x:v>1000</x:v>
      </x:c>
      <x:c r="G178" s="48" t="n">
        <x:v>40</x:v>
      </x:c>
      <x:c r="H178" s="48" t="n">
        <x:v>1000</x:v>
      </x:c>
      <x:c r="I178" s="48" t="n">
        <x:v>40</x:v>
      </x:c>
      <x:c r="J178" s="48" t="n">
        <x:v>421</x:v>
      </x:c>
      <x:c r="K178" s="48" t="n">
        <x:v>40</x:v>
      </x:c>
      <x:c r="L178" s="48" t="n">
        <x:v>421</x:v>
      </x:c>
      <x:c r="M178" s="48" t="n">
        <x:v>40</x:v>
      </x:c>
      <x:c r="N178" s="48"/>
      <x:c r="O178" s="48"/>
      <x:c r="P178" s="48"/>
      <x:c r="Q178" s="48"/>
      <x:c r="R178" s="31" t="str">
        <x:v>ok</x:v>
      </x:c>
      <x:c r="S178" s="51" t="n">
        <x:v>0.9812952876091003</x:v>
      </x:c>
      <x:c r="T178" s="31" t="str">
        <x:v>https://mp.weixin.qq.com/s?__biz=MzUxOTMxNjk0OQ==&amp;mid=2247502561&amp;idx=3&amp;sn=873710b1a7e601ea10d02dee3da7a4fc&amp;chksm=f9f9fe5bce8e774da7f709a44dd6adb830e58b36757c3095b53b91ac50e9b3f19650b6f32594#rd</x:v>
      </x:c>
    </x:row>
    <x:row r="179">
      <x:c r="A179" s="36" t="d">
        <x:v>2025-06-27T00:00:00.000Z</x:v>
      </x:c>
      <x:c r="B179" s="48" t="n">
        <x:v>195.64</x:v>
      </x:c>
      <x:c r="C179" s="48" t="n">
        <x:v>74.08</x:v>
      </x:c>
      <x:c r="D179" s="48" t="n">
        <x:v>218.33</x:v>
      </x:c>
      <x:c r="E179" s="48" t="n">
        <x:v>121.63</x:v>
      </x:c>
      <x:c r="F179" s="48" t="n">
        <x:v>444</x:v>
      </x:c>
      <x:c r="G179" s="48" t="n">
        <x:v>40</x:v>
      </x:c>
      <x:c r="H179" s="48" t="n">
        <x:v>444</x:v>
      </x:c>
      <x:c r="I179" s="48" t="n">
        <x:v>40</x:v>
      </x:c>
      <x:c r="J179" s="48" t="n">
        <x:v>434</x:v>
      </x:c>
      <x:c r="K179" s="48" t="n">
        <x:v>40</x:v>
      </x:c>
      <x:c r="L179" s="48" t="n">
        <x:v>434</x:v>
      </x:c>
      <x:c r="M179" s="48" t="n">
        <x:v>40</x:v>
      </x:c>
      <x:c r="N179" s="48"/>
      <x:c r="O179" s="48"/>
      <x:c r="P179" s="48"/>
      <x:c r="Q179" s="48"/>
      <x:c r="R179" s="31" t="str">
        <x:v>ok</x:v>
      </x:c>
      <x:c r="S179" s="51" t="n">
        <x:v>0.9999967217445374</x:v>
      </x:c>
      <x:c r="T179" s="31" t="str">
        <x:v>https://mp.weixin.qq.com/s?__biz=MzUxOTMxNjk0OQ==&amp;mid=2247502563&amp;idx=1&amp;sn=9cbb812f0c56036c2c2a7e6650256a6a&amp;chksm=f9f9fe59ce8e774f581db6a3036295149ec486625f2e22794eff892aa6fa158228f9142e926a#rd</x:v>
      </x:c>
    </x:row>
    <x:row r="180">
      <x:c r="A180" s="36" t="d">
        <x:v>2025-06-28T00:00:00.000Z</x:v>
      </x:c>
      <x:c r="B180" s="48" t="n">
        <x:v>223.02</x:v>
      </x:c>
      <x:c r="C180" s="48" t="n">
        <x:v>77.14</x:v>
      </x:c>
      <x:c r="D180" s="48" t="n">
        <x:v>250.12</x:v>
      </x:c>
      <x:c r="E180" s="48" t="n">
        <x:v>117.53</x:v>
      </x:c>
      <x:c r="F180" s="48" t="n">
        <x:v>1000</x:v>
      </x:c>
      <x:c r="G180" s="48" t="n">
        <x:v>40</x:v>
      </x:c>
      <x:c r="H180" s="48" t="n">
        <x:v>1000</x:v>
      </x:c>
      <x:c r="I180" s="48" t="n">
        <x:v>40</x:v>
      </x:c>
      <x:c r="J180" s="48" t="n">
        <x:v>423</x:v>
      </x:c>
      <x:c r="K180" s="48" t="n">
        <x:v>40</x:v>
      </x:c>
      <x:c r="L180" s="48" t="n">
        <x:v>423</x:v>
      </x:c>
      <x:c r="M180" s="48" t="n">
        <x:v>40</x:v>
      </x:c>
      <x:c r="N180" s="48"/>
      <x:c r="O180" s="48"/>
      <x:c r="P180" s="48"/>
      <x:c r="Q180" s="48"/>
      <x:c r="R180" s="31" t="str">
        <x:v>ok</x:v>
      </x:c>
      <x:c r="S180" s="51" t="n">
        <x:v>0.9999854564666748</x:v>
      </x:c>
      <x:c r="T180" s="31" t="str">
        <x:v>https://mp.weixin.qq.com/s?__biz=MzUxOTMxNjk0OQ==&amp;mid=2247502573&amp;idx=1&amp;sn=bff7266bbcfa68a6431be54d3ce1bc26&amp;chksm=f9f9fe57ce8e774149bb229fa614859ecf9e403231d93ea657d67ec57d84391f0a85d6f5697a#rd</x:v>
      </x:c>
    </x:row>
    <x:row r="181">
      <x:c r="A181" s="36" t="d">
        <x:v>2025-06-29T00:00:00.000Z</x:v>
      </x:c>
      <x:c r="B181" s="48" t="n">
        <x:v>232.81</x:v>
      </x:c>
      <x:c r="C181" s="48" t="n">
        <x:v>75.97</x:v>
      </x:c>
      <x:c r="D181" s="48" t="n">
        <x:v>233.14</x:v>
      </x:c>
      <x:c r="E181" s="48" t="n">
        <x:v>102.33</x:v>
      </x:c>
      <x:c r="F181" s="48" t="n">
        <x:v>487</x:v>
      </x:c>
      <x:c r="G181" s="48" t="n">
        <x:v>40</x:v>
      </x:c>
      <x:c r="H181" s="48" t="n">
        <x:v>487</x:v>
      </x:c>
      <x:c r="I181" s="48" t="n">
        <x:v>40</x:v>
      </x:c>
      <x:c r="J181" s="48" t="n">
        <x:v>427</x:v>
      </x:c>
      <x:c r="K181" s="48" t="n">
        <x:v>40</x:v>
      </x:c>
      <x:c r="L181" s="48" t="n">
        <x:v>427</x:v>
      </x:c>
      <x:c r="M181" s="48" t="n">
        <x:v>40</x:v>
      </x:c>
      <x:c r="N181" s="48"/>
      <x:c r="O181" s="48"/>
      <x:c r="P181" s="48"/>
      <x:c r="Q181" s="48"/>
      <x:c r="R181" s="31" t="str">
        <x:v>ok</x:v>
      </x:c>
      <x:c r="S181" s="51" t="n">
        <x:v>0.9999975562095642</x:v>
      </x:c>
      <x:c r="T181" s="31" t="str">
        <x:v>https://mp.weixin.qq.com/s?__biz=MzUxOTMxNjk0OQ==&amp;mid=2247502580&amp;idx=2&amp;sn=13f77dc5dce17c4a719a9fc3f4019c9f&amp;chksm=f9f9fe4ece8e77583f1d0ea693d3d9e9ffb27071c002da12664b4a236437861b27a6887e3c5b#rd</x:v>
      </x:c>
    </x:row>
    <x:row r="182">
      <x:c r="A182" s="36" t="d">
        <x:v>2025-06-30T00:00:00.000Z</x:v>
      </x:c>
      <x:c r="B182" s="48" t="n">
        <x:v>260.66</x:v>
      </x:c>
      <x:c r="C182" s="48" t="n">
        <x:v>236.38</x:v>
      </x:c>
      <x:c r="D182" s="48" t="n">
        <x:v>242.31</x:v>
      </x:c>
      <x:c r="E182" s="48" t="n">
        <x:v>205.96</x:v>
      </x:c>
      <x:c r="F182" s="48" t="n">
        <x:v>381</x:v>
      </x:c>
      <x:c r="G182" s="48" t="n">
        <x:v>40</x:v>
      </x:c>
      <x:c r="H182" s="48" t="n">
        <x:v>381</x:v>
      </x:c>
      <x:c r="I182" s="48" t="n">
        <x:v>40</x:v>
      </x:c>
      <x:c r="J182" s="48" t="n">
        <x:v>269</x:v>
      </x:c>
      <x:c r="K182" s="48" t="n">
        <x:v>40</x:v>
      </x:c>
      <x:c r="L182" s="48" t="n">
        <x:v>269</x:v>
      </x:c>
      <x:c r="M182" s="48" t="n">
        <x:v>40</x:v>
      </x:c>
      <x:c r="N182" s="48"/>
      <x:c r="O182" s="48"/>
      <x:c r="P182" s="48"/>
      <x:c r="Q182" s="48"/>
      <x:c r="R182" s="31" t="str">
        <x:v>ok</x:v>
      </x:c>
      <x:c r="S182" s="51" t="n">
        <x:v>0.9999964833259583</x:v>
      </x:c>
      <x:c r="T182" s="31" t="str">
        <x:v>https://mp.weixin.qq.com/s?__biz=MzUxOTMxNjk0OQ==&amp;mid=2247502583&amp;idx=1&amp;sn=ad8e16d37e03116da450ae958a100bcc&amp;chksm=f9f9fe4dce8e775b4b8f6d5f9f0712d9cf1b9b8d62afac914a6eca6bf72739dc929affcd8171#rd</x:v>
      </x:c>
    </x:row>
    <x:row r="183">
      <x:c r="A183" s="36" t="d">
        <x:v>2025-07-01T00:00:00.000Z</x:v>
      </x:c>
      <x:c r="B183" s="48" t="n">
        <x:v>230</x:v>
      </x:c>
      <x:c r="C183" s="48" t="n">
        <x:v>90.28</x:v>
      </x:c>
      <x:c r="D183" s="48" t="n">
        <x:v>298.08</x:v>
      </x:c>
      <x:c r="E183" s="48" t="n">
        <x:v>132.75</x:v>
      </x:c>
      <x:c r="F183" s="48" t="n">
        <x:v>509</x:v>
      </x:c>
      <x:c r="G183" s="48" t="n">
        <x:v>40</x:v>
      </x:c>
      <x:c r="H183" s="48" t="n">
        <x:v>509</x:v>
      </x:c>
      <x:c r="I183" s="48" t="n">
        <x:v>40</x:v>
      </x:c>
      <x:c r="J183" s="48" t="n">
        <x:v>509</x:v>
      </x:c>
      <x:c r="K183" s="48" t="n">
        <x:v>40</x:v>
      </x:c>
      <x:c r="L183" s="48" t="n">
        <x:v>509</x:v>
      </x:c>
      <x:c r="M183" s="48" t="n">
        <x:v>40</x:v>
      </x:c>
      <x:c r="N183" s="48"/>
      <x:c r="O183" s="48"/>
      <x:c r="P183" s="48"/>
      <x:c r="Q183" s="48"/>
      <x:c r="R183" s="31" t="str">
        <x:v>ok</x:v>
      </x:c>
      <x:c r="S183" s="51" t="n">
        <x:v>0.9999389052391052</x:v>
      </x:c>
      <x:c r="T183" s="31" t="str">
        <x:v>https://mp.weixin.qq.com/s?__biz=MzUxOTMxNjk0OQ==&amp;mid=2247502589&amp;idx=2&amp;sn=300fb8e6326322b3a679bc587619c8b3&amp;chksm=f9f9fe47ce8e77515843f41766dd0c8990b992791dc4ec8c7a81d3d54820ddcdb49e52baf5ce#rd</x:v>
      </x:c>
    </x:row>
    <x:row r="184">
      <x:c r="A184" s="36" t="d">
        <x:v>2025-07-02T00:00:00.000Z</x:v>
      </x:c>
      <x:c r="B184" s="48" t="n">
        <x:v>153.89</x:v>
      </x:c>
      <x:c r="C184" s="48" t="n">
        <x:v>80.55</x:v>
      </x:c>
      <x:c r="D184" s="48" t="n">
        <x:v>193.72</x:v>
      </x:c>
      <x:c r="E184" s="48" t="n">
        <x:v>149.85</x:v>
      </x:c>
      <x:c r="F184" s="48" t="n">
        <x:v>559</x:v>
      </x:c>
      <x:c r="G184" s="48" t="n">
        <x:v>40</x:v>
      </x:c>
      <x:c r="H184" s="48" t="n">
        <x:v>559</x:v>
      </x:c>
      <x:c r="I184" s="48" t="n">
        <x:v>40</x:v>
      </x:c>
      <x:c r="J184" s="48" t="n">
        <x:v>559</x:v>
      </x:c>
      <x:c r="K184" s="48" t="n">
        <x:v>40</x:v>
      </x:c>
      <x:c r="L184" s="48" t="n">
        <x:v>559</x:v>
      </x:c>
      <x:c r="M184" s="48" t="n">
        <x:v>40</x:v>
      </x:c>
      <x:c r="N184" s="48"/>
      <x:c r="O184" s="48"/>
      <x:c r="P184" s="48"/>
      <x:c r="Q184" s="48"/>
      <x:c r="R184" s="31" t="str">
        <x:v>ok</x:v>
      </x:c>
      <x:c r="S184" s="51" t="n">
        <x:v>0.9999975562095642</x:v>
      </x:c>
      <x:c r="T184" s="31" t="str">
        <x:v>https://mp.weixin.qq.com/s?__biz=MzUxOTMxNjk0OQ==&amp;mid=2247502630&amp;idx=2&amp;sn=2f1bcbe845adbaeca7df8dbaaec1f875&amp;chksm=f9f9ff9cce8e768afc1ca679699eb471cb10059dd51eb83023421c8d3d5463b58ca74b5845af#rd</x:v>
      </x:c>
    </x:row>
    <x:row r="185">
      <x:c r="A185" s="36" t="d">
        <x:v>2025-07-03T00:00:00.000Z</x:v>
      </x:c>
      <x:c r="B185" s="48" t="n">
        <x:v>188.02</x:v>
      </x:c>
      <x:c r="C185" s="48" t="n">
        <x:v>79.51</x:v>
      </x:c>
      <x:c r="D185" s="48" t="n">
        <x:v>209.58</x:v>
      </x:c>
      <x:c r="E185" s="48" t="n">
        <x:v>149.68</x:v>
      </x:c>
      <x:c r="F185" s="48" t="n">
        <x:v>560</x:v>
      </x:c>
      <x:c r="G185" s="48" t="n">
        <x:v>40</x:v>
      </x:c>
      <x:c r="H185" s="48" t="n">
        <x:v>560</x:v>
      </x:c>
      <x:c r="I185" s="48" t="n">
        <x:v>40</x:v>
      </x:c>
      <x:c r="J185" s="48" t="n">
        <x:v>418.15</x:v>
      </x:c>
      <x:c r="K185" s="48" t="n">
        <x:v>40</x:v>
      </x:c>
      <x:c r="L185" s="48" t="n">
        <x:v>400</x:v>
      </x:c>
      <x:c r="M185" s="48" t="n">
        <x:v>40</x:v>
      </x:c>
      <x:c r="N185" s="48"/>
      <x:c r="O185" s="48"/>
      <x:c r="P185" s="48"/>
      <x:c r="Q185" s="48"/>
      <x:c r="R185" s="31" t="str">
        <x:v>ok</x:v>
      </x:c>
      <x:c r="S185" s="51" t="n">
        <x:v>0.9999970197677612</x:v>
      </x:c>
      <x:c r="T185" s="31" t="str">
        <x:v>https://mp.weixin.qq.com/s?__biz=MzUxOTMxNjk0OQ==&amp;mid=2247502632&amp;idx=1&amp;sn=a8860ef2cffa0db790eba98f1d21c6d8&amp;chksm=f9f9ff92ce8e7684eb82566d13ac4ca305be4099f7da9ca01c288f65e50a4d37ca43f07ef9a5#rd</x:v>
      </x:c>
    </x:row>
    <x:row r="186">
      <x:c r="A186" s="36" t="d">
        <x:v>2025-07-04T00:00:00.000Z</x:v>
      </x:c>
      <x:c r="B186" s="48" t="n">
        <x:v>221.43</x:v>
      </x:c>
      <x:c r="C186" s="48" t="n">
        <x:v>165.68</x:v>
      </x:c>
      <x:c r="D186" s="48" t="n">
        <x:v>158.44</x:v>
      </x:c>
      <x:c r="E186" s="48" t="n">
        <x:v>108.34</x:v>
      </x:c>
      <x:c r="F186" s="48" t="n">
        <x:v>455</x:v>
      </x:c>
      <x:c r="G186" s="48" t="n">
        <x:v>40</x:v>
      </x:c>
      <x:c r="H186" s="48" t="n">
        <x:v>455</x:v>
      </x:c>
      <x:c r="I186" s="48" t="n">
        <x:v>40</x:v>
      </x:c>
      <x:c r="J186" s="48" t="n">
        <x:v>340</x:v>
      </x:c>
      <x:c r="K186" s="48" t="n">
        <x:v>40</x:v>
      </x:c>
      <x:c r="L186" s="48" t="n">
        <x:v>340</x:v>
      </x:c>
      <x:c r="M186" s="48" t="n">
        <x:v>40</x:v>
      </x:c>
      <x:c r="N186" s="48"/>
      <x:c r="O186" s="48"/>
      <x:c r="P186" s="48"/>
      <x:c r="Q186" s="48"/>
      <x:c r="R186" s="31" t="str">
        <x:v>ok</x:v>
      </x:c>
      <x:c r="S186" s="51" t="n">
        <x:v>0.9999957084655762</x:v>
      </x:c>
      <x:c r="T186" s="31" t="str">
        <x:v>https://mp.weixin.qq.com/s?__biz=MzUxOTMxNjk0OQ==&amp;mid=2247502634&amp;idx=1&amp;sn=34dddf58486220d3ab9afaa8e6247c9b&amp;chksm=f9f9ff90ce8e768675c8fb6a83d2394917387f5bd431a899ec061a271bd47c18ce2d7389098d#rd</x:v>
      </x:c>
    </x:row>
    <x:row r="187">
      <x:c r="A187" s="36" t="d">
        <x:v>2025-07-05T00:00:00.000Z</x:v>
      </x:c>
      <x:c r="B187" s="48" t="n">
        <x:v>95.65</x:v>
      </x:c>
      <x:c r="C187" s="48" t="n">
        <x:v>64.06</x:v>
      </x:c>
      <x:c r="D187" s="48" t="n">
        <x:v>110.96</x:v>
      </x:c>
      <x:c r="E187" s="48" t="n">
        <x:v>63.05</x:v>
      </x:c>
      <x:c r="F187" s="48" t="n">
        <x:v>1000</x:v>
      </x:c>
      <x:c r="G187" s="48" t="n">
        <x:v>40</x:v>
      </x:c>
      <x:c r="H187" s="48" t="n">
        <x:v>1000</x:v>
      </x:c>
      <x:c r="I187" s="48" t="n">
        <x:v>40</x:v>
      </x:c>
      <x:c r="J187" s="48" t="n">
        <x:v>410</x:v>
      </x:c>
      <x:c r="K187" s="48" t="n">
        <x:v>40</x:v>
      </x:c>
      <x:c r="L187" s="48" t="n">
        <x:v>410</x:v>
      </x:c>
      <x:c r="M187" s="48" t="n">
        <x:v>40</x:v>
      </x:c>
      <x:c r="N187" s="48"/>
      <x:c r="O187" s="48"/>
      <x:c r="P187" s="48"/>
      <x:c r="Q187" s="48"/>
      <x:c r="R187" s="31" t="str">
        <x:v>ok</x:v>
      </x:c>
      <x:c r="S187" s="51" t="n">
        <x:v>0.9430474042892456</x:v>
      </x:c>
      <x:c r="T187" s="31" t="str">
        <x:v>https://mp.weixin.qq.com/s?__biz=MzUxOTMxNjk0OQ==&amp;mid=2247502646&amp;idx=2&amp;sn=9b03dce9a4b7fac3b57787e0a6a843ec&amp;chksm=f9f9ff8cce8e769ab3e55dc00bcf02efb62dbc76c924182eaa7c3ac7f52e69afa5947b6e5d44#rd</x:v>
      </x:c>
    </x:row>
    <x:row r="188">
      <x:c r="A188" s="36" t="d">
        <x:v>2025-07-06T00:00:00.000Z</x:v>
      </x:c>
      <x:c r="B188" s="48" t="n">
        <x:v>206.59</x:v>
      </x:c>
      <x:c r="C188" s="48" t="n">
        <x:v>75.99</x:v>
      </x:c>
      <x:c r="D188" s="48" t="n">
        <x:v>246.61</x:v>
      </x:c>
      <x:c r="E188" s="48" t="n">
        <x:v>106.13</x:v>
      </x:c>
      <x:c r="F188" s="48" t="n">
        <x:v>423</x:v>
      </x:c>
      <x:c r="G188" s="48" t="n">
        <x:v>40</x:v>
      </x:c>
      <x:c r="H188" s="48" t="n">
        <x:v>446.84</x:v>
      </x:c>
      <x:c r="I188" s="48" t="n">
        <x:v>40</x:v>
      </x:c>
      <x:c r="J188" s="48" t="n">
        <x:v>340</x:v>
      </x:c>
      <x:c r="K188" s="48" t="n">
        <x:v>40</x:v>
      </x:c>
      <x:c r="L188" s="48" t="n">
        <x:v>340</x:v>
      </x:c>
      <x:c r="M188" s="48" t="n">
        <x:v>40</x:v>
      </x:c>
      <x:c r="N188" s="48"/>
      <x:c r="O188" s="48"/>
      <x:c r="P188" s="48"/>
      <x:c r="Q188" s="48"/>
      <x:c r="R188" s="31" t="str">
        <x:v>ok</x:v>
      </x:c>
      <x:c r="S188" s="51" t="n">
        <x:v>0.9999954104423523</x:v>
      </x:c>
      <x:c r="T188" s="31" t="str">
        <x:v>https://mp.weixin.qq.com/s?__biz=MzUxOTMxNjk0OQ==&amp;mid=2247502657&amp;idx=2&amp;sn=8cae4cd6c55fe6446edb6cd595d21b7e&amp;chksm=f9f9fffbce8e76edd8b7af418ee822737bb68623ec2b4914fe3664278e38c74fb8c48f376126#rd</x:v>
      </x:c>
    </x:row>
    <x:row r="189">
      <x:c r="A189" s="36" t="d">
        <x:v>2025-07-07T00:00:00.000Z</x:v>
      </x:c>
      <x:c r="B189" s="48" t="n">
        <x:v>148.41</x:v>
      </x:c>
      <x:c r="C189" s="48" t="n">
        <x:v>61.62</x:v>
      </x:c>
      <x:c r="D189" s="48" t="n">
        <x:v>152.79</x:v>
      </x:c>
      <x:c r="E189" s="48" t="n">
        <x:v>82.24</x:v>
      </x:c>
      <x:c r="F189" s="48" t="n">
        <x:v>340</x:v>
      </x:c>
      <x:c r="G189" s="48" t="n">
        <x:v>40</x:v>
      </x:c>
      <x:c r="H189" s="48" t="n">
        <x:v>340</x:v>
      </x:c>
      <x:c r="I189" s="48" t="n">
        <x:v>40</x:v>
      </x:c>
      <x:c r="J189" s="48" t="n">
        <x:v>1000</x:v>
      </x:c>
      <x:c r="K189" s="48" t="n">
        <x:v>40</x:v>
      </x:c>
      <x:c r="L189" s="48" t="n">
        <x:v>1000</x:v>
      </x:c>
      <x:c r="M189" s="48" t="n">
        <x:v>40</x:v>
      </x:c>
      <x:c r="N189" s="48"/>
      <x:c r="O189" s="48"/>
      <x:c r="P189" s="48"/>
      <x:c r="Q189" s="48"/>
      <x:c r="R189" s="31" t="str">
        <x:v>ok</x:v>
      </x:c>
      <x:c r="S189" s="51" t="n">
        <x:v>0.9984534978866577</x:v>
      </x:c>
      <x:c r="T189" s="31" t="str">
        <x:v>https://mp.weixin.qq.com/s?__biz=MzUxOTMxNjk0OQ==&amp;mid=2247502669&amp;idx=3&amp;sn=8a1fdab065ebfc44ad0ff39e5461dfd7&amp;chksm=f9f9fff7ce8e76e142ed40e872894c6f59ef6ff3d61abf62c525f3549ecabfcdb187412be549#rd</x:v>
      </x:c>
    </x:row>
    <x:row r="190">
      <x:c r="A190" s="36" t="d">
        <x:v>2025-07-08T00:00:00.000Z</x:v>
      </x:c>
      <x:c r="B190" s="48" t="n">
        <x:v>122.53</x:v>
      </x:c>
      <x:c r="C190" s="48" t="n">
        <x:v>66.78</x:v>
      </x:c>
      <x:c r="D190" s="48" t="n">
        <x:v>134.79</x:v>
      </x:c>
      <x:c r="E190" s="48" t="n">
        <x:v>86.62</x:v>
      </x:c>
      <x:c r="F190" s="48" t="n">
        <x:v>423</x:v>
      </x:c>
      <x:c r="G190" s="48" t="n">
        <x:v>40</x:v>
      </x:c>
      <x:c r="H190" s="48" t="n">
        <x:v>423</x:v>
      </x:c>
      <x:c r="I190" s="48" t="n">
        <x:v>40</x:v>
      </x:c>
      <x:c r="J190" s="48" t="n">
        <x:v>350</x:v>
      </x:c>
      <x:c r="K190" s="48" t="n">
        <x:v>40</x:v>
      </x:c>
      <x:c r="L190" s="48" t="n">
        <x:v>350</x:v>
      </x:c>
      <x:c r="M190" s="48" t="n">
        <x:v>40</x:v>
      </x:c>
      <x:c r="N190" s="48"/>
      <x:c r="O190" s="48"/>
      <x:c r="P190" s="48"/>
      <x:c r="Q190" s="48"/>
      <x:c r="R190" s="31" t="str">
        <x:v>ok</x:v>
      </x:c>
      <x:c r="S190" s="51" t="n">
        <x:v>0.997154712677002</x:v>
      </x:c>
      <x:c r="T190" s="31" t="str">
        <x:v>https://mp.weixin.qq.com/s?__biz=MzUxOTMxNjk0OQ==&amp;mid=2247502671&amp;idx=1&amp;sn=e3c924f467d79ce6e5405e70ed48f15f&amp;chksm=f9f9fff5ce8e76e34e26e801c51c6cfe4881ab0599d2e06cc78e10b0a19a30f9057fdc1729a2#rd</x:v>
      </x:c>
    </x:row>
    <x:row r="191">
      <x:c r="A191" s="36" t="d">
        <x:v>2025-07-09T00:00:00.000Z</x:v>
      </x:c>
      <x:c r="B191" s="48" t="n">
        <x:v>130.71</x:v>
      </x:c>
      <x:c r="C191" s="48" t="n">
        <x:v>68.26</x:v>
      </x:c>
      <x:c r="D191" s="48" t="n">
        <x:v>154.46</x:v>
      </x:c>
      <x:c r="E191" s="48" t="n">
        <x:v>103.91</x:v>
      </x:c>
      <x:c r="F191" s="48" t="n">
        <x:v>371</x:v>
      </x:c>
      <x:c r="G191" s="48" t="n">
        <x:v>40</x:v>
      </x:c>
      <x:c r="H191" s="48" t="n">
        <x:v>371</x:v>
      </x:c>
      <x:c r="I191" s="48" t="n">
        <x:v>40</x:v>
      </x:c>
      <x:c r="J191" s="48" t="n">
        <x:v>457</x:v>
      </x:c>
      <x:c r="K191" s="48" t="n">
        <x:v>40</x:v>
      </x:c>
      <x:c r="L191" s="48" t="n">
        <x:v>457</x:v>
      </x:c>
      <x:c r="M191" s="48" t="n">
        <x:v>40</x:v>
      </x:c>
      <x:c r="N191" s="48"/>
      <x:c r="O191" s="48"/>
      <x:c r="P191" s="48"/>
      <x:c r="Q191" s="48"/>
      <x:c r="R191" s="31" t="str">
        <x:v>ok</x:v>
      </x:c>
      <x:c r="S191" s="51" t="n">
        <x:v>0.9999945759773254</x:v>
      </x:c>
      <x:c r="T191" s="31" t="str">
        <x:v>https://mp.weixin.qq.com/s?__biz=MzUxOTMxNjk0OQ==&amp;mid=2247502679&amp;idx=1&amp;sn=7722c9ea8b1ef2a53dc89666dcbc127b&amp;chksm=f9f9ffedce8e76fbfedbfcddaef9a7efe96b4193ad90f6b6e39bb0aa519302a8e0f12b63e97c#rd</x:v>
      </x:c>
    </x:row>
    <x:row r="192">
      <x:c r="A192" s="36" t="d">
        <x:v>2025-07-10T00:00:00.000Z</x:v>
      </x:c>
      <x:c r="B192" s="48" t="n">
        <x:v>99.51</x:v>
      </x:c>
      <x:c r="C192" s="48" t="n">
        <x:v>47.24</x:v>
      </x:c>
      <x:c r="D192" s="48" t="n">
        <x:v>93.64</x:v>
      </x:c>
      <x:c r="E192" s="48" t="n">
        <x:v>48.73</x:v>
      </x:c>
      <x:c r="F192" s="48" t="n">
        <x:v>415</x:v>
      </x:c>
      <x:c r="G192" s="48" t="n">
        <x:v>40</x:v>
      </x:c>
      <x:c r="H192" s="48" t="n">
        <x:v>415</x:v>
      </x:c>
      <x:c r="I192" s="48" t="n">
        <x:v>40</x:v>
      </x:c>
      <x:c r="J192" s="48" t="n">
        <x:v>426</x:v>
      </x:c>
      <x:c r="K192" s="48" t="n">
        <x:v>40</x:v>
      </x:c>
      <x:c r="L192" s="48" t="n">
        <x:v>426</x:v>
      </x:c>
      <x:c r="M192" s="48" t="n">
        <x:v>40</x:v>
      </x:c>
      <x:c r="N192" s="48"/>
      <x:c r="O192" s="48"/>
      <x:c r="P192" s="48"/>
      <x:c r="Q192" s="48"/>
      <x:c r="R192" s="31" t="str">
        <x:v>ok</x:v>
      </x:c>
      <x:c r="S192" s="51" t="n">
        <x:v>0.9999971389770508</x:v>
      </x:c>
      <x:c r="T192" s="31" t="str">
        <x:v>https://mp.weixin.qq.com/s?__biz=MzUxOTMxNjk0OQ==&amp;mid=2247502683&amp;idx=1&amp;sn=34eaad50927492ef80badf3f3e2d27e1&amp;chksm=f9f9ffe1ce8e76f781589ed6fceadd01897eae5341137e499cdcafc47228adb1e294fc2c75f3#rd</x:v>
      </x:c>
    </x:row>
    <x:row r="193">
      <x:c r="A193" s="36" t="d">
        <x:v>2025-07-11T00:00:00.000Z</x:v>
      </x:c>
      <x:c r="B193" s="48" t="n">
        <x:v>95.91</x:v>
      </x:c>
      <x:c r="C193" s="48" t="n">
        <x:v>54.01</x:v>
      </x:c>
      <x:c r="D193" s="48" t="n">
        <x:v>108.57</x:v>
      </x:c>
      <x:c r="E193" s="48" t="n">
        <x:v>61.06</x:v>
      </x:c>
      <x:c r="F193" s="48" t="n">
        <x:v>510</x:v>
      </x:c>
      <x:c r="G193" s="48" t="n">
        <x:v>40</x:v>
      </x:c>
      <x:c r="H193" s="48" t="n">
        <x:v>510</x:v>
      </x:c>
      <x:c r="I193" s="48" t="n">
        <x:v>40</x:v>
      </x:c>
      <x:c r="J193" s="48" t="n">
        <x:v>502</x:v>
      </x:c>
      <x:c r="K193" s="48" t="n">
        <x:v>40</x:v>
      </x:c>
      <x:c r="L193" s="48" t="n">
        <x:v>502</x:v>
      </x:c>
      <x:c r="M193" s="48" t="n">
        <x:v>40</x:v>
      </x:c>
      <x:c r="N193" s="48"/>
      <x:c r="O193" s="48"/>
      <x:c r="P193" s="48"/>
      <x:c r="Q193" s="48"/>
      <x:c r="R193" s="31" t="str">
        <x:v>ok</x:v>
      </x:c>
      <x:c r="S193" s="51" t="n">
        <x:v>0.9999947547912598</x:v>
      </x:c>
      <x:c r="T193" s="31" t="str">
        <x:v>https://mp.weixin.qq.com/s?__biz=MzUxOTMxNjk0OQ==&amp;mid=2247502685&amp;idx=1&amp;sn=305c51a3bfa2a667e1d54262e3021531&amp;chksm=f9f9ffe7ce8e76f1b31618efb431e7b849b3c983396988a6657114a52c68e08dfaf1f193b3eb#rd</x:v>
      </x:c>
    </x:row>
    <x:row r="194">
      <x:c r="A194" s="36" t="d">
        <x:v>2025-07-12T00:00:00.000Z</x:v>
      </x:c>
      <x:c r="B194" s="48" t="n">
        <x:v>119.65</x:v>
      </x:c>
      <x:c r="C194" s="48" t="n">
        <x:v>62.12</x:v>
      </x:c>
      <x:c r="D194" s="48" t="n">
        <x:v>150.45</x:v>
      </x:c>
      <x:c r="E194" s="48" t="n">
        <x:v>60.4</x:v>
      </x:c>
      <x:c r="F194" s="48" t="n">
        <x:v>530</x:v>
      </x:c>
      <x:c r="G194" s="48" t="n">
        <x:v>40</x:v>
      </x:c>
      <x:c r="H194" s="48" t="n">
        <x:v>530</x:v>
      </x:c>
      <x:c r="I194" s="48" t="n">
        <x:v>40</x:v>
      </x:c>
      <x:c r="J194" s="48" t="n">
        <x:v>530</x:v>
      </x:c>
      <x:c r="K194" s="48" t="n">
        <x:v>40</x:v>
      </x:c>
      <x:c r="L194" s="48" t="n">
        <x:v>530</x:v>
      </x:c>
      <x:c r="M194" s="48" t="n">
        <x:v>40</x:v>
      </x:c>
      <x:c r="N194" s="48"/>
      <x:c r="O194" s="48"/>
      <x:c r="P194" s="48"/>
      <x:c r="Q194" s="48"/>
      <x:c r="R194" s="31" t="str">
        <x:v>ok</x:v>
      </x:c>
      <x:c r="S194" s="51" t="n">
        <x:v>0.935276210308075</x:v>
      </x:c>
      <x:c r="T194" s="31" t="str">
        <x:v>https://mp.weixin.qq.com/s?__biz=MzUxOTMxNjk0OQ==&amp;mid=2247502695&amp;idx=1&amp;sn=28cb904556972891ae6cbb89582e9ba0&amp;chksm=f9f9ffddce8e76cbb59863d94b4d3ec074ef76ba1812cadef7650fb8da2392dd71edf2bdb449#rd</x:v>
      </x:c>
    </x:row>
    <x:row r="195">
      <x:c r="A195" s="36" t="d">
        <x:v>2025-07-13T00:00:00.000Z</x:v>
      </x:c>
      <x:c r="B195" s="48" t="n">
        <x:v>234.55</x:v>
      </x:c>
      <x:c r="C195" s="48" t="n">
        <x:v>65.34</x:v>
      </x:c>
      <x:c r="D195" s="48" t="n">
        <x:v>226.86</x:v>
      </x:c>
      <x:c r="E195" s="48" t="n">
        <x:v>77.74</x:v>
      </x:c>
      <x:c r="F195" s="48" t="n">
        <x:v>530</x:v>
      </x:c>
      <x:c r="G195" s="48" t="n">
        <x:v>40</x:v>
      </x:c>
      <x:c r="H195" s="48" t="n">
        <x:v>530</x:v>
      </x:c>
      <x:c r="I195" s="48" t="n">
        <x:v>40</x:v>
      </x:c>
      <x:c r="J195" s="48" t="n">
        <x:v>1000</x:v>
      </x:c>
      <x:c r="K195" s="48" t="n">
        <x:v>40</x:v>
      </x:c>
      <x:c r="L195" s="48" t="n">
        <x:v>1000</x:v>
      </x:c>
      <x:c r="M195" s="48" t="n">
        <x:v>40</x:v>
      </x:c>
      <x:c r="N195" s="48"/>
      <x:c r="O195" s="48"/>
      <x:c r="P195" s="48"/>
      <x:c r="Q195" s="48"/>
      <x:c r="R195" s="31" t="str">
        <x:v>ok</x:v>
      </x:c>
      <x:c r="S195" s="51" t="n">
        <x:v>0.9999839663505554</x:v>
      </x:c>
      <x:c r="T195" s="31" t="str">
        <x:v>https://mp.weixin.qq.com/s?__biz=MzUxOTMxNjk0OQ==&amp;mid=2247502706&amp;idx=1&amp;sn=92f662fc8884b698c3c0ce50373dd3c3&amp;chksm=f9f9ffc8ce8e76de46b619ecf99475a180a73a688febb579edee20533e10724d78f2f35f9d1a#rd</x:v>
      </x:c>
    </x:row>
    <x:row r="196">
      <x:c r="A196" s="36" t="d">
        <x:v>2025-07-14T00:00:00.000Z</x:v>
      </x:c>
      <x:c r="B196" s="48" t="n">
        <x:v>165</x:v>
      </x:c>
      <x:c r="C196" s="48" t="n">
        <x:v>80.33</x:v>
      </x:c>
      <x:c r="D196" s="48" t="n">
        <x:v>110.24</x:v>
      </x:c>
      <x:c r="E196" s="48" t="n">
        <x:v>111.15</x:v>
      </x:c>
      <x:c r="F196" s="48" t="n">
        <x:v>501</x:v>
      </x:c>
      <x:c r="G196" s="48" t="n">
        <x:v>40</x:v>
      </x:c>
      <x:c r="H196" s="48" t="n">
        <x:v>501</x:v>
      </x:c>
      <x:c r="I196" s="48" t="n">
        <x:v>40</x:v>
      </x:c>
      <x:c r="J196" s="48" t="n">
        <x:v>1000</x:v>
      </x:c>
      <x:c r="K196" s="48" t="n">
        <x:v>40</x:v>
      </x:c>
      <x:c r="L196" s="48" t="n">
        <x:v>1000</x:v>
      </x:c>
      <x:c r="M196" s="48" t="n">
        <x:v>40</x:v>
      </x:c>
      <x:c r="N196" s="48"/>
      <x:c r="O196" s="48"/>
      <x:c r="P196" s="48"/>
      <x:c r="Q196" s="48"/>
      <x:c r="R196" s="31" t="str">
        <x:v>ok</x:v>
      </x:c>
      <x:c r="S196" s="51" t="n">
        <x:v>0.9241242408752441</x:v>
      </x:c>
      <x:c r="T196" s="31" t="str">
        <x:v>https://mp.weixin.qq.com/s?__biz=MzUxOTMxNjk0OQ==&amp;mid=2247502708&amp;idx=1&amp;sn=a7579385f34c55ca999c5af9d9fb52f7&amp;chksm=f9f9ffcece8e76d8d361723c7e0402d4208ecefe063b5abc346a767445ae5bdb5a423d8e2e25#rd</x:v>
      </x:c>
    </x:row>
    <x:row r="197">
      <x:c r="A197" s="36" t="d">
        <x:v>2025-07-15T00:00:00.000Z</x:v>
      </x:c>
      <x:c r="B197" s="48" t="n">
        <x:v>152.76</x:v>
      </x:c>
      <x:c r="C197" s="48" t="n">
        <x:v>88.6</x:v>
      </x:c>
      <x:c r="D197" s="48" t="n">
        <x:v>189.46</x:v>
      </x:c>
      <x:c r="E197" s="48" t="n">
        <x:v>126.28</x:v>
      </x:c>
      <x:c r="F197" s="48" t="n">
        <x:v>1000</x:v>
      </x:c>
      <x:c r="G197" s="48" t="n">
        <x:v>40</x:v>
      </x:c>
      <x:c r="H197" s="48" t="n">
        <x:v>1000</x:v>
      </x:c>
      <x:c r="I197" s="48" t="n">
        <x:v>40</x:v>
      </x:c>
      <x:c r="J197" s="48" t="n">
        <x:v>1000</x:v>
      </x:c>
      <x:c r="K197" s="48" t="n">
        <x:v>40</x:v>
      </x:c>
      <x:c r="L197" s="48" t="n">
        <x:v>1000</x:v>
      </x:c>
      <x:c r="M197" s="48" t="n">
        <x:v>40</x:v>
      </x:c>
      <x:c r="N197" s="48"/>
      <x:c r="O197" s="48"/>
      <x:c r="P197" s="48"/>
      <x:c r="Q197" s="48"/>
      <x:c r="R197" s="31" t="str">
        <x:v>ok</x:v>
      </x:c>
      <x:c r="S197" s="51" t="n">
        <x:v>0.9880426526069641</x:v>
      </x:c>
      <x:c r="T197" s="31" t="str">
        <x:v>https://mp.weixin.qq.com/s?__biz=MzUxOTMxNjk0OQ==&amp;mid=2247502730&amp;idx=1&amp;sn=6df2d490845aa17cad052abae848fbf3&amp;chksm=f9f9ff30ce8e7626f36a6e5ad7b08179e84f395879494194cdb27c98e1f2b89663852851f140#rd</x:v>
      </x:c>
    </x:row>
    <x:row r="198">
      <x:c r="A198" s="36" t="d">
        <x:v>2025-07-16T00:00:00.000Z</x:v>
      </x:c>
      <x:c r="B198" s="48" t="n">
        <x:v>220.63</x:v>
      </x:c>
      <x:c r="C198" s="48" t="n">
        <x:v>111.78</x:v>
      </x:c>
      <x:c r="D198" s="48" t="n">
        <x:v>256.41</x:v>
      </x:c>
      <x:c r="E198" s="48" t="n">
        <x:v>201.83</x:v>
      </x:c>
      <x:c r="F198" s="48" t="n">
        <x:v>1000</x:v>
      </x:c>
      <x:c r="G198" s="48" t="n">
        <x:v>40</x:v>
      </x:c>
      <x:c r="H198" s="48" t="n">
        <x:v>1000</x:v>
      </x:c>
      <x:c r="I198" s="48" t="n">
        <x:v>40</x:v>
      </x:c>
      <x:c r="J198" s="48" t="n">
        <x:v>1000</x:v>
      </x:c>
      <x:c r="K198" s="48" t="n">
        <x:v>40</x:v>
      </x:c>
      <x:c r="L198" s="48" t="n">
        <x:v>1000</x:v>
      </x:c>
      <x:c r="M198" s="48" t="n">
        <x:v>40</x:v>
      </x:c>
      <x:c r="N198" s="48" t="n">
        <x:v>0.37</x:v>
      </x:c>
      <x:c r="O198" s="48" t="n">
        <x:v>0.72</x:v>
      </x:c>
      <x:c r="P198" s="48" t="n">
        <x:v>0.32</x:v>
      </x:c>
      <x:c r="Q198" s="48" t="n">
        <x:v>0.64</x:v>
      </x:c>
      <x:c r="R198" s="31" t="str">
        <x:v>ok</x:v>
      </x:c>
      <x:c r="S198" s="51" t="n">
        <x:v>0.9999964833259583</x:v>
      </x:c>
      <x:c r="T198" s="31" t="str">
        <x:v>https://mp.weixin.qq.com/s?__biz=MzUxOTMxNjk0OQ==&amp;mid=2247502747&amp;idx=1&amp;sn=e05eb786e58b5c229db85bf2fbd57f2f&amp;chksm=f9f9ff21ce8e7637867cc6b7d12a2f722742fd8e07752fcedf6b34996c56062579a1f9ab2810#rd</x:v>
      </x:c>
    </x:row>
    <x:row r="199">
      <x:c r="A199" s="36" t="d">
        <x:v>2025-07-17T00:00:00.000Z</x:v>
      </x:c>
      <x:c r="B199" s="48" t="n">
        <x:v>264.11</x:v>
      </x:c>
      <x:c r="C199" s="48" t="n">
        <x:v>100.34</x:v>
      </x:c>
      <x:c r="D199" s="48" t="n">
        <x:v>263.97</x:v>
      </x:c>
      <x:c r="E199" s="48" t="n">
        <x:v>140.12</x:v>
      </x:c>
      <x:c r="F199" s="48" t="n">
        <x:v>1000</x:v>
      </x:c>
      <x:c r="G199" s="48" t="n">
        <x:v>40</x:v>
      </x:c>
      <x:c r="H199" s="48" t="n">
        <x:v>1000</x:v>
      </x:c>
      <x:c r="I199" s="48" t="n">
        <x:v>40</x:v>
      </x:c>
      <x:c r="J199" s="48" t="n">
        <x:v>1000</x:v>
      </x:c>
      <x:c r="K199" s="48" t="n">
        <x:v>40</x:v>
      </x:c>
      <x:c r="L199" s="48" t="n">
        <x:v>1000</x:v>
      </x:c>
      <x:c r="M199" s="48" t="n">
        <x:v>40</x:v>
      </x:c>
      <x:c r="N199" s="48" t="n">
        <x:v>0.31</x:v>
      </x:c>
      <x:c r="O199" s="48" t="n">
        <x:v>0.68</x:v>
      </x:c>
      <x:c r="P199" s="48" t="n">
        <x:v>0.38</x:v>
      </x:c>
      <x:c r="Q199" s="48" t="n">
        <x:v>0.66</x:v>
      </x:c>
      <x:c r="R199" s="31" t="str">
        <x:v>ok</x:v>
      </x:c>
      <x:c r="S199" s="51" t="n">
        <x:v>0.9999967217445374</x:v>
      </x:c>
      <x:c r="T199" s="31" t="str">
        <x:v>https://mp.weixin.qq.com/s?__biz=MzUxOTMxNjk0OQ==&amp;mid=2247502769&amp;idx=1&amp;sn=5cb332e6b2dab0dc3dd3127a99abd461&amp;chksm=f9f9ff0bce8e761dfa889af17f00ef302b6f97fa2b884993b5a2dea3c0e3f4759be0de17a796#rd</x:v>
      </x:c>
    </x:row>
    <x:row r="200">
      <x:c r="A200" s="36" t="d">
        <x:v>2025-07-18T00:00:00.000Z</x:v>
      </x:c>
      <x:c r="B200" s="48" t="n">
        <x:v>130.85</x:v>
      </x:c>
      <x:c r="C200" s="48" t="n">
        <x:v>85.69</x:v>
      </x:c>
      <x:c r="D200" s="48" t="n">
        <x:v>166.92</x:v>
      </x:c>
      <x:c r="E200" s="48" t="n">
        <x:v>113.86</x:v>
      </x:c>
      <x:c r="F200" s="48" t="n">
        <x:v>977.97</x:v>
      </x:c>
      <x:c r="G200" s="48" t="n">
        <x:v>40</x:v>
      </x:c>
      <x:c r="H200" s="48" t="n">
        <x:v>977.97</x:v>
      </x:c>
      <x:c r="I200" s="48" t="n">
        <x:v>40</x:v>
      </x:c>
      <x:c r="J200" s="48" t="n">
        <x:v>1000</x:v>
      </x:c>
      <x:c r="K200" s="48" t="n">
        <x:v>40</x:v>
      </x:c>
      <x:c r="L200" s="48" t="n">
        <x:v>1000</x:v>
      </x:c>
      <x:c r="M200" s="48" t="n">
        <x:v>40</x:v>
      </x:c>
      <x:c r="N200" s="48" t="n">
        <x:v>0.68</x:v>
      </x:c>
      <x:c r="O200" s="48" t="n">
        <x:v>0.62</x:v>
      </x:c>
      <x:c r="P200" s="48" t="n">
        <x:v>0.75</x:v>
      </x:c>
      <x:c r="Q200" s="48" t="n">
        <x:v>0.59</x:v>
      </x:c>
      <x:c r="R200" s="31" t="str">
        <x:v>ok</x:v>
      </x:c>
      <x:c r="S200" s="51" t="n">
        <x:v>0.9999967813491821</x:v>
      </x:c>
      <x:c r="T200" s="31" t="str">
        <x:v>https://mp.weixin.qq.com/s?__biz=MzUxOTMxNjk0OQ==&amp;mid=2247502771&amp;idx=1&amp;sn=332610a7257a37e0168dbecafd2cec7e&amp;chksm=f9f9ff09ce8e761f5f350a45b25f9de48b454e835b506b71df160e1998d8a7d53250e55d0abe#rd</x:v>
      </x:c>
    </x:row>
    <x:row r="201">
      <x:c r="A201" s="36" t="d">
        <x:v>2025-07-19T00:00:00.000Z</x:v>
      </x:c>
      <x:c r="B201" s="48" t="n">
        <x:v>253.83</x:v>
      </x:c>
      <x:c r="C201" s="48" t="n">
        <x:v>191.31</x:v>
      </x:c>
      <x:c r="D201" s="48" t="n">
        <x:v>223.67</x:v>
      </x:c>
      <x:c r="E201" s="48" t="n">
        <x:v>213.28</x:v>
      </x:c>
      <x:c r="F201" s="48" t="n">
        <x:v>1000</x:v>
      </x:c>
      <x:c r="G201" s="48" t="n">
        <x:v>40</x:v>
      </x:c>
      <x:c r="H201" s="48" t="n">
        <x:v>1000</x:v>
      </x:c>
      <x:c r="I201" s="48" t="n">
        <x:v>40</x:v>
      </x:c>
      <x:c r="J201" s="48" t="n">
        <x:v>644.06</x:v>
      </x:c>
      <x:c r="K201" s="48" t="n">
        <x:v>40</x:v>
      </x:c>
      <x:c r="L201" s="48" t="n">
        <x:v>780.88</x:v>
      </x:c>
      <x:c r="M201" s="48" t="n">
        <x:v>40</x:v>
      </x:c>
      <x:c r="N201" s="48" t="n">
        <x:v>0.61</x:v>
      </x:c>
      <x:c r="O201" s="48" t="n">
        <x:v>0.44</x:v>
      </x:c>
      <x:c r="P201" s="48" t="n">
        <x:v>0.61</x:v>
      </x:c>
      <x:c r="Q201" s="48" t="n">
        <x:v>0.4</x:v>
      </x:c>
      <x:c r="R201" s="31" t="str">
        <x:v>ok</x:v>
      </x:c>
      <x:c r="S201" s="51" t="n">
        <x:v>0.9999967217445374</x:v>
      </x:c>
      <x:c r="T201" s="31" t="str">
        <x:v>https://mp.weixin.qq.com/s?__biz=MzUxOTMxNjk0OQ==&amp;mid=2247502800&amp;idx=2&amp;sn=500c4e9928062d893b14075c62c9db95&amp;chksm=f9f9ff6ace8e767cb8bcb1291af3165b710a19645f38fa32794dddcb7d47c3605d6e582197c5#rd</x:v>
      </x:c>
    </x:row>
    <x:row r="202">
      <x:c r="A202" s="36" t="d">
        <x:v>2025-07-20T00:00:00.000Z</x:v>
      </x:c>
      <x:c r="B202" s="48" t="n">
        <x:v>208.03</x:v>
      </x:c>
      <x:c r="C202" s="48" t="n">
        <x:v>83.71</x:v>
      </x:c>
      <x:c r="D202" s="48" t="n">
        <x:v>238.73</x:v>
      </x:c>
      <x:c r="E202" s="48" t="n">
        <x:v>89.41</x:v>
      </x:c>
      <x:c r="F202" s="48" t="n">
        <x:v>592</x:v>
      </x:c>
      <x:c r="G202" s="48" t="n">
        <x:v>40</x:v>
      </x:c>
      <x:c r="H202" s="48" t="n">
        <x:v>592</x:v>
      </x:c>
      <x:c r="I202" s="48" t="n">
        <x:v>40</x:v>
      </x:c>
      <x:c r="J202" s="48" t="n">
        <x:v>1000</x:v>
      </x:c>
      <x:c r="K202" s="48" t="n">
        <x:v>40</x:v>
      </x:c>
      <x:c r="L202" s="48" t="n">
        <x:v>1000</x:v>
      </x:c>
      <x:c r="M202" s="48" t="n">
        <x:v>40</x:v>
      </x:c>
      <x:c r="N202" s="48" t="n">
        <x:v>0.32</x:v>
      </x:c>
      <x:c r="O202" s="48" t="n">
        <x:v>0.58</x:v>
      </x:c>
      <x:c r="P202" s="48" t="n">
        <x:v>0.26</x:v>
      </x:c>
      <x:c r="Q202" s="48" t="n">
        <x:v>0.5</x:v>
      </x:c>
      <x:c r="R202" s="31" t="str">
        <x:v>ok</x:v>
      </x:c>
      <x:c r="S202" s="51" t="n">
        <x:v>0.9999967813491821</x:v>
      </x:c>
      <x:c r="T202" s="31" t="str">
        <x:v>https://mp.weixin.qq.com/s?__biz=MzUxOTMxNjk0OQ==&amp;mid=2247502810&amp;idx=1&amp;sn=de65ad6bfa60da420d6237e3a1c38a71&amp;chksm=f9f9ff60ce8e767662d60a4ff2618de7dff4947b8dec0356d1dee801d3598c0b7fa84695f539#rd</x:v>
      </x:c>
    </x:row>
    <x:row r="203">
      <x:c r="A203" s="36" t="d">
        <x:v>2025-07-21T00:00:00.000Z</x:v>
      </x:c>
      <x:c r="B203" s="48" t="n">
        <x:v>209.34</x:v>
      </x:c>
      <x:c r="C203" s="48" t="n">
        <x:v>71.45</x:v>
      </x:c>
      <x:c r="D203" s="48" t="n">
        <x:v>329.32</x:v>
      </x:c>
      <x:c r="E203" s="48" t="n">
        <x:v>125.98</x:v>
      </x:c>
      <x:c r="F203" s="48" t="n">
        <x:v>503</x:v>
      </x:c>
      <x:c r="G203" s="48" t="n">
        <x:v>40</x:v>
      </x:c>
      <x:c r="H203" s="48" t="n">
        <x:v>503</x:v>
      </x:c>
      <x:c r="I203" s="48" t="n">
        <x:v>40</x:v>
      </x:c>
      <x:c r="J203" s="48" t="n">
        <x:v>530</x:v>
      </x:c>
      <x:c r="K203" s="48" t="n">
        <x:v>40</x:v>
      </x:c>
      <x:c r="L203" s="48" t="n">
        <x:v>530</x:v>
      </x:c>
      <x:c r="M203" s="48" t="n">
        <x:v>40</x:v>
      </x:c>
      <x:c r="N203" s="48" t="n">
        <x:v>0.25</x:v>
      </x:c>
      <x:c r="O203" s="48" t="n">
        <x:v>0.68</x:v>
      </x:c>
      <x:c r="P203" s="48" t="n">
        <x:v>0.2</x:v>
      </x:c>
      <x:c r="Q203" s="48" t="n">
        <x:v>0.61</x:v>
      </x:c>
      <x:c r="R203" s="31" t="str">
        <x:v>ok</x:v>
      </x:c>
      <x:c r="S203" s="51" t="n">
        <x:v>0.9999976754188538</x:v>
      </x:c>
      <x:c r="T203" s="31" t="str">
        <x:v>https://mp.weixin.qq.com/s?__biz=MzUxOTMxNjk0OQ==&amp;mid=2247502813&amp;idx=1&amp;sn=c7e4c6e542567dce0cd5dd283baf951a&amp;chksm=f9f9ff67ce8e76712e36ab655d5b68e0cf4792a6b328b0706c887e803f0c3e7641e86cac2631#rd</x:v>
      </x:c>
    </x:row>
    <x:row r="204">
      <x:c r="A204" s="36" t="d">
        <x:v>2025-07-22T00:00:00.000Z</x:v>
      </x:c>
      <x:c r="B204" s="48" t="n">
        <x:v>148.56</x:v>
      </x:c>
      <x:c r="C204" s="48" t="n">
        <x:v>86.53</x:v>
      </x:c>
      <x:c r="D204" s="48" t="n">
        <x:v>156.77</x:v>
      </x:c>
      <x:c r="E204" s="48" t="n">
        <x:v>96.58</x:v>
      </x:c>
      <x:c r="F204" s="48" t="n">
        <x:v>861.86</x:v>
      </x:c>
      <x:c r="G204" s="48" t="n">
        <x:v>40</x:v>
      </x:c>
      <x:c r="H204" s="48" t="n">
        <x:v>861.86</x:v>
      </x:c>
      <x:c r="I204" s="48" t="n">
        <x:v>40</x:v>
      </x:c>
      <x:c r="J204" s="48" t="n">
        <x:v>644.64</x:v>
      </x:c>
      <x:c r="K204" s="48" t="n">
        <x:v>40</x:v>
      </x:c>
      <x:c r="L204" s="48" t="n">
        <x:v>1000</x:v>
      </x:c>
      <x:c r="M204" s="48" t="n">
        <x:v>40</x:v>
      </x:c>
      <x:c r="N204" s="48" t="n">
        <x:v>0.79</x:v>
      </x:c>
      <x:c r="O204" s="48" t="n">
        <x:v>0.6</x:v>
      </x:c>
      <x:c r="P204" s="48" t="n">
        <x:v>0.82</x:v>
      </x:c>
      <x:c r="Q204" s="48" t="n">
        <x:v>0.55</x:v>
      </x:c>
      <x:c r="R204" s="31" t="str">
        <x:v>ok</x:v>
      </x:c>
      <x:c r="S204" s="51" t="n">
        <x:v>0.9116217494010925</x:v>
      </x:c>
      <x:c r="T204" s="31" t="str">
        <x:v>https://mp.weixin.qq.com/s?__biz=MzUxOTMxNjk0OQ==&amp;mid=2247502835&amp;idx=5&amp;sn=188491029556ce8ccbc4343f045b8752&amp;chksm=f9f9ff49ce8e765f9ffca5c1372262c37ccb3574ede99b7ba5c108b56a9f00100a71a507577e#rd</x:v>
      </x:c>
    </x:row>
    <x:row r="205">
      <x:c r="A205" s="36" t="d">
        <x:v>2025-07-23T00:00:00.000Z</x:v>
      </x:c>
      <x:c r="B205" s="48" t="n">
        <x:v>155.74</x:v>
      </x:c>
      <x:c r="C205" s="48" t="n">
        <x:v>96.08</x:v>
      </x:c>
      <x:c r="D205" s="48" t="n">
        <x:v>196.97</x:v>
      </x:c>
      <x:c r="E205" s="48" t="n">
        <x:v>162.31</x:v>
      </x:c>
      <x:c r="F205" s="48" t="n">
        <x:v>1000</x:v>
      </x:c>
      <x:c r="G205" s="48" t="n">
        <x:v>40</x:v>
      </x:c>
      <x:c r="H205" s="48" t="n">
        <x:v>1000</x:v>
      </x:c>
      <x:c r="I205" s="48" t="n">
        <x:v>40</x:v>
      </x:c>
      <x:c r="J205" s="48" t="n">
        <x:v>1000</x:v>
      </x:c>
      <x:c r="K205" s="48" t="n">
        <x:v>40</x:v>
      </x:c>
      <x:c r="L205" s="48" t="n">
        <x:v>1000</x:v>
      </x:c>
      <x:c r="M205" s="48" t="n">
        <x:v>40</x:v>
      </x:c>
      <x:c r="N205" s="48" t="n">
        <x:v>0.82</x:v>
      </x:c>
      <x:c r="O205" s="48" t="n">
        <x:v>0.54</x:v>
      </x:c>
      <x:c r="P205" s="48" t="n">
        <x:v>0.87</x:v>
      </x:c>
      <x:c r="Q205" s="48" t="n">
        <x:v>0.5</x:v>
      </x:c>
      <x:c r="R205" s="31" t="str">
        <x:v>ok</x:v>
      </x:c>
      <x:c r="S205" s="51" t="n">
        <x:v>0.9902000427246094</x:v>
      </x:c>
      <x:c r="T205" s="31" t="str">
        <x:v>https://mp.weixin.qq.com/s?__biz=MzUxOTMxNjk0OQ==&amp;mid=2247502853&amp;idx=2&amp;sn=eeafa4cb4be7cda10108c65cfafa4134&amp;chksm=f9f9f8bfce8e71a929ad4f0b928653d1186815d08b81f7bec3a0420ad80321bb8595d26d9adb#rd</x:v>
      </x:c>
    </x:row>
    <x:row r="206">
      <x:c r="A206" s="36" t="d">
        <x:v>2025-07-24T00:00:00.000Z</x:v>
      </x:c>
      <x:c r="B206" s="48" t="n">
        <x:v>295.12</x:v>
      </x:c>
      <x:c r="C206" s="48" t="n">
        <x:v>185.07</x:v>
      </x:c>
      <x:c r="D206" s="48" t="n">
        <x:v>274.14</x:v>
      </x:c>
      <x:c r="E206" s="48" t="n">
        <x:v>296.05</x:v>
      </x:c>
      <x:c r="F206" s="48" t="n">
        <x:v>1000</x:v>
      </x:c>
      <x:c r="G206" s="48" t="n">
        <x:v>40</x:v>
      </x:c>
      <x:c r="H206" s="48" t="n">
        <x:v>1000</x:v>
      </x:c>
      <x:c r="I206" s="48" t="n">
        <x:v>40</x:v>
      </x:c>
      <x:c r="J206" s="48" t="n">
        <x:v>1000</x:v>
      </x:c>
      <x:c r="K206" s="48" t="n">
        <x:v>40</x:v>
      </x:c>
      <x:c r="L206" s="48" t="n">
        <x:v>1000</x:v>
      </x:c>
      <x:c r="M206" s="48" t="n">
        <x:v>40</x:v>
      </x:c>
      <x:c r="N206" s="48" t="n">
        <x:v>0.72</x:v>
      </x:c>
      <x:c r="O206" s="48" t="n">
        <x:v>0.51</x:v>
      </x:c>
      <x:c r="P206" s="48" t="n">
        <x:v>0.75</x:v>
      </x:c>
      <x:c r="Q206" s="48" t="n">
        <x:v>0.44</x:v>
      </x:c>
      <x:c r="R206" s="31" t="str">
        <x:v>ok</x:v>
      </x:c>
      <x:c r="S206" s="51" t="n">
        <x:v>0.9902000427246094</x:v>
      </x:c>
      <x:c r="T206" s="31" t="str">
        <x:v>https://mp.weixin.qq.com/s?__biz=MzUxOTMxNjk0OQ==&amp;mid=2247502855&amp;idx=1&amp;sn=624565a709877760a53760781352a948&amp;chksm=f9f9f8bdce8e71abc64a85ad7e85ae057fe71a6297860e4118b79c0531e4c086f55b0475de65#rd</x:v>
      </x:c>
    </x:row>
    <x:row r="207">
      <x:c r="A207" s="36" t="d">
        <x:v>2025-07-25T00:00:00.000Z</x:v>
      </x:c>
      <x:c r="B207" s="48" t="n">
        <x:v>257.65</x:v>
      </x:c>
      <x:c r="C207" s="48" t="n">
        <x:v>192.82</x:v>
      </x:c>
      <x:c r="D207" s="48" t="n">
        <x:v>297.89</x:v>
      </x:c>
      <x:c r="E207" s="48" t="n">
        <x:v>332.65</x:v>
      </x:c>
      <x:c r="F207" s="48" t="n">
        <x:v>1000</x:v>
      </x:c>
      <x:c r="G207" s="48" t="n">
        <x:v>40</x:v>
      </x:c>
      <x:c r="H207" s="48" t="n">
        <x:v>1000</x:v>
      </x:c>
      <x:c r="I207" s="48" t="n">
        <x:v>40</x:v>
      </x:c>
      <x:c r="J207" s="48" t="n">
        <x:v>1000</x:v>
      </x:c>
      <x:c r="K207" s="48" t="n">
        <x:v>40</x:v>
      </x:c>
      <x:c r="L207" s="48" t="n">
        <x:v>1000</x:v>
      </x:c>
      <x:c r="M207" s="48" t="n">
        <x:v>40</x:v>
      </x:c>
      <x:c r="N207" s="48" t="n">
        <x:v>0.63</x:v>
      </x:c>
      <x:c r="O207" s="48" t="n">
        <x:v>0.46</x:v>
      </x:c>
      <x:c r="P207" s="48" t="n">
        <x:v>0.56</x:v>
      </x:c>
      <x:c r="Q207" s="48" t="n">
        <x:v>0.39</x:v>
      </x:c>
      <x:c r="R207" s="31" t="str">
        <x:v>ok</x:v>
      </x:c>
      <x:c r="S207" s="51" t="n">
        <x:v>0.9902000427246094</x:v>
      </x:c>
      <x:c r="T207" s="31" t="str">
        <x:v>https://mp.weixin.qq.com/s?__biz=MzUxOTMxNjk0OQ==&amp;mid=2247502857&amp;idx=1&amp;sn=0e3e03ce0b67be8a49a2ba1ed7d00954&amp;chksm=f9f9f8b3ce8e71a5088c0d67251b999fe95cb63c832c24e36fb4dd799ea8b5444f826a5f100b#rd</x:v>
      </x:c>
    </x:row>
    <x:row r="208">
      <x:c r="A208" s="36" t="d">
        <x:v>2025-07-26T00:00:00.000Z</x:v>
      </x:c>
      <x:c r="B208" s="48" t="n">
        <x:v>218.49</x:v>
      </x:c>
      <x:c r="C208" s="48" t="n">
        <x:v>91.36</x:v>
      </x:c>
      <x:c r="D208" s="48" t="n">
        <x:v>281.75</x:v>
      </x:c>
      <x:c r="E208" s="48" t="n">
        <x:v>157.02</x:v>
      </x:c>
      <x:c r="F208" s="48" t="n">
        <x:v>1000</x:v>
      </x:c>
      <x:c r="G208" s="48" t="n">
        <x:v>40</x:v>
      </x:c>
      <x:c r="H208" s="48" t="n">
        <x:v>1000</x:v>
      </x:c>
      <x:c r="I208" s="48" t="n">
        <x:v>40</x:v>
      </x:c>
      <x:c r="J208" s="48" t="n">
        <x:v>1000</x:v>
      </x:c>
      <x:c r="K208" s="48" t="n">
        <x:v>40</x:v>
      </x:c>
      <x:c r="L208" s="48" t="n">
        <x:v>1000</x:v>
      </x:c>
      <x:c r="M208" s="48" t="n">
        <x:v>40</x:v>
      </x:c>
      <x:c r="N208" s="48" t="n">
        <x:v>0.53</x:v>
      </x:c>
      <x:c r="O208" s="48" t="n">
        <x:v>0.6</x:v>
      </x:c>
      <x:c r="P208" s="48" t="n">
        <x:v>0.45</x:v>
      </x:c>
      <x:c r="Q208" s="48" t="n">
        <x:v>0.53</x:v>
      </x:c>
      <x:c r="R208" s="31" t="str">
        <x:v>ok</x:v>
      </x:c>
      <x:c r="S208" s="51" t="n">
        <x:v>0.9902000427246094</x:v>
      </x:c>
      <x:c r="T208" s="31" t="str">
        <x:v>https://mp.weixin.qq.com/s?__biz=MzUxOTMxNjk0OQ==&amp;mid=2247502861&amp;idx=1&amp;sn=936843f0bd0ba8a847a823046a497787&amp;chksm=f9f9f8b7ce8e71a125dcc6042f5a8b2f627e6a2deae1ef9fbc8c916c3caaf52cc8a192cb3cf6#rd</x:v>
      </x:c>
    </x:row>
    <x:row r="209">
      <x:c r="A209" s="36" t="d">
        <x:v>2025-07-27T00:00:00.000Z</x:v>
      </x:c>
      <x:c r="B209" s="48" t="n">
        <x:v>199.01</x:v>
      </x:c>
      <x:c r="C209" s="48" t="n">
        <x:v>95.77</x:v>
      </x:c>
      <x:c r="D209" s="48" t="n">
        <x:v>264.27</x:v>
      </x:c>
      <x:c r="E209" s="48" t="n">
        <x:v>123.81</x:v>
      </x:c>
      <x:c r="F209" s="48" t="n">
        <x:v>1000</x:v>
      </x:c>
      <x:c r="G209" s="48" t="n">
        <x:v>40</x:v>
      </x:c>
      <x:c r="H209" s="48" t="n">
        <x:v>1000</x:v>
      </x:c>
      <x:c r="I209" s="48" t="n">
        <x:v>40</x:v>
      </x:c>
      <x:c r="J209" s="48" t="n">
        <x:v>1000</x:v>
      </x:c>
      <x:c r="K209" s="48" t="n">
        <x:v>40</x:v>
      </x:c>
      <x:c r="L209" s="48" t="n">
        <x:v>1000</x:v>
      </x:c>
      <x:c r="M209" s="48" t="n">
        <x:v>40</x:v>
      </x:c>
      <x:c r="N209" s="48" t="n">
        <x:v>0.46</x:v>
      </x:c>
      <x:c r="O209" s="48" t="n">
        <x:v>0.69</x:v>
      </x:c>
      <x:c r="P209" s="48" t="n">
        <x:v>0.37</x:v>
      </x:c>
      <x:c r="Q209" s="48" t="n">
        <x:v>0.65</x:v>
      </x:c>
      <x:c r="R209" s="31" t="str">
        <x:v>ok</x:v>
      </x:c>
      <x:c r="S209" s="51" t="n">
        <x:v>0.9902000427246094</x:v>
      </x:c>
      <x:c r="T209" s="31" t="str">
        <x:v>https://mp.weixin.qq.com/s?__biz=MzUxOTMxNjk0OQ==&amp;mid=2247502870&amp;idx=1&amp;sn=cec06e4b04a4fe7e319e1401fc1bac2d&amp;chksm=f9f9f8acce8e71ba7d923d45ce85bbd0e8e4ef5bcac111175ffe1b4dcbdb70679e4d310ab600#rd</x:v>
      </x:c>
    </x:row>
    <x:row r="210">
      <x:c r="A210" s="36" t="d">
        <x:v>2025-07-28T00:00:00.000Z</x:v>
      </x:c>
      <x:c r="B210" s="48" t="n">
        <x:v>156.02</x:v>
      </x:c>
      <x:c r="C210" s="48" t="n">
        <x:v>129.52</x:v>
      </x:c>
      <x:c r="D210" s="48" t="n">
        <x:v>144.76</x:v>
      </x:c>
      <x:c r="E210" s="48" t="n">
        <x:v>90.52</x:v>
      </x:c>
      <x:c r="F210" s="48" t="n">
        <x:v>1000</x:v>
      </x:c>
      <x:c r="G210" s="48" t="n">
        <x:v>40</x:v>
      </x:c>
      <x:c r="H210" s="48" t="n">
        <x:v>1000</x:v>
      </x:c>
      <x:c r="I210" s="48" t="n">
        <x:v>40</x:v>
      </x:c>
      <x:c r="J210" s="48" t="n">
        <x:v>1000</x:v>
      </x:c>
      <x:c r="K210" s="48" t="n">
        <x:v>40</x:v>
      </x:c>
      <x:c r="L210" s="48" t="n">
        <x:v>1000</x:v>
      </x:c>
      <x:c r="M210" s="48" t="n">
        <x:v>40</x:v>
      </x:c>
      <x:c r="N210" s="48" t="n">
        <x:v>0.51</x:v>
      </x:c>
      <x:c r="O210" s="48" t="n">
        <x:v>0.72</x:v>
      </x:c>
      <x:c r="P210" s="48" t="n">
        <x:v>0.58</x:v>
      </x:c>
      <x:c r="Q210" s="48" t="n">
        <x:v>0.66</x:v>
      </x:c>
      <x:c r="R210" s="31" t="str">
        <x:v>ok</x:v>
      </x:c>
      <x:c r="S210" s="51" t="n">
        <x:v>0.9902000427246094</x:v>
      </x:c>
      <x:c r="T210" s="31" t="str">
        <x:v>https://mp.weixin.qq.com/s?__biz=MzUxOTMxNjk0OQ==&amp;mid=2247502879&amp;idx=1&amp;sn=24c69632b1a92174133512b552363d7c&amp;chksm=f9f9f8a5ce8e71b3bc373f79892290f14a965f9f657074dc23930711a08347de81ab1b3411f2#rd</x:v>
      </x:c>
    </x:row>
    <x:row r="211">
      <x:c r="A211" s="36" t="d">
        <x:v>2025-07-29T00:00:00.000Z</x:v>
      </x:c>
      <x:c r="B211" s="48" t="n">
        <x:v>222.04</x:v>
      </x:c>
      <x:c r="C211" s="48" t="n">
        <x:v>133.13</x:v>
      </x:c>
      <x:c r="D211" s="48" t="n">
        <x:v>183.86</x:v>
      </x:c>
      <x:c r="E211" s="48" t="n">
        <x:v>98.61</x:v>
      </x:c>
      <x:c r="F211" s="48" t="n">
        <x:v>1000</x:v>
      </x:c>
      <x:c r="G211" s="48" t="n">
        <x:v>40</x:v>
      </x:c>
      <x:c r="H211" s="48" t="n">
        <x:v>1000</x:v>
      </x:c>
      <x:c r="I211" s="48" t="n">
        <x:v>40</x:v>
      </x:c>
      <x:c r="J211" s="48" t="n">
        <x:v>1000</x:v>
      </x:c>
      <x:c r="K211" s="48" t="n">
        <x:v>40</x:v>
      </x:c>
      <x:c r="L211" s="48" t="n">
        <x:v>1000</x:v>
      </x:c>
      <x:c r="M211" s="48" t="n">
        <x:v>40</x:v>
      </x:c>
      <x:c r="N211" s="48" t="n">
        <x:v>0.28</x:v>
      </x:c>
      <x:c r="O211" s="48" t="n">
        <x:v>0.71</x:v>
      </x:c>
      <x:c r="P211" s="48" t="n">
        <x:v>0.31</x:v>
      </x:c>
      <x:c r="Q211" s="48" t="n">
        <x:v>0.67</x:v>
      </x:c>
      <x:c r="R211" s="31" t="str">
        <x:v>ok</x:v>
      </x:c>
      <x:c r="S211" s="51" t="n">
        <x:v>0.9902000427246094</x:v>
      </x:c>
      <x:c r="T211" s="31" t="str">
        <x:v>https://mp.weixin.qq.com/s?__biz=MzUxOTMxNjk0OQ==&amp;mid=2247502883&amp;idx=1&amp;sn=e085d52539cde3d603043ad7897bc933&amp;chksm=f9f9f899ce8e718f72dad550bff5bce7f33b2920abe39a38b008a164307ef8b6adc5f8b9605d#rd</x:v>
      </x:c>
    </x:row>
    <x:row r="212">
      <x:c r="A212" s="36" t="d">
        <x:v>2025-07-30T00:00:00.000Z</x:v>
      </x:c>
      <x:c r="B212" s="48" t="n">
        <x:v>245.62</x:v>
      </x:c>
      <x:c r="C212" s="48" t="n">
        <x:v>98.51</x:v>
      </x:c>
      <x:c r="D212" s="48" t="n">
        <x:v>198.24</x:v>
      </x:c>
      <x:c r="E212" s="48" t="n">
        <x:v>79.51</x:v>
      </x:c>
      <x:c r="F212" s="48" t="n">
        <x:v>1000</x:v>
      </x:c>
      <x:c r="G212" s="48" t="n">
        <x:v>40</x:v>
      </x:c>
      <x:c r="H212" s="48" t="n">
        <x:v>1000</x:v>
      </x:c>
      <x:c r="I212" s="48" t="n">
        <x:v>40</x:v>
      </x:c>
      <x:c r="J212" s="48" t="n">
        <x:v>1000</x:v>
      </x:c>
      <x:c r="K212" s="48" t="n">
        <x:v>40</x:v>
      </x:c>
      <x:c r="L212" s="48" t="n">
        <x:v>1000</x:v>
      </x:c>
      <x:c r="M212" s="48" t="n">
        <x:v>40</x:v>
      </x:c>
      <x:c r="N212" s="48" t="n">
        <x:v>0.33</x:v>
      </x:c>
      <x:c r="O212" s="48" t="n">
        <x:v>0.74</x:v>
      </x:c>
      <x:c r="P212" s="48" t="n">
        <x:v>0.41</x:v>
      </x:c>
      <x:c r="Q212" s="48" t="n">
        <x:v>0.71</x:v>
      </x:c>
      <x:c r="R212" s="31" t="str">
        <x:v>ok</x:v>
      </x:c>
      <x:c r="S212" s="51" t="n">
        <x:v>0.9902000427246094</x:v>
      </x:c>
      <x:c r="T212" s="31" t="str">
        <x:v>https://mp.weixin.qq.com/s?__biz=MzUxOTMxNjk0OQ==&amp;mid=2247502945&amp;idx=3&amp;sn=d7bb93596c8ad9e0268f0ec90ed1c8e6&amp;chksm=f9f9f8dbce8e71cd63c6541dfbb98c8a9764dd80d43a92cb0570841b1cd4dd713665bd8c8733#rd</x:v>
      </x:c>
    </x:row>
    <x:row r="213">
      <x:c r="A213" s="36" t="d">
        <x:v>2025-07-31T00:00:00.000Z</x:v>
      </x:c>
      <x:c r="B213" s="48" t="n">
        <x:v>216.26</x:v>
      </x:c>
      <x:c r="C213" s="48" t="n">
        <x:v>197.1</x:v>
      </x:c>
      <x:c r="D213" s="48" t="n">
        <x:v>200.39</x:v>
      </x:c>
      <x:c r="E213" s="48" t="n">
        <x:v>217.72</x:v>
      </x:c>
      <x:c r="F213" s="48" t="n">
        <x:v>1000</x:v>
      </x:c>
      <x:c r="G213" s="48" t="n">
        <x:v>40</x:v>
      </x:c>
      <x:c r="H213" s="48" t="n">
        <x:v>1000</x:v>
      </x:c>
      <x:c r="I213" s="48" t="n">
        <x:v>40</x:v>
      </x:c>
      <x:c r="J213" s="48" t="n">
        <x:v>1000</x:v>
      </x:c>
      <x:c r="K213" s="48" t="n">
        <x:v>40</x:v>
      </x:c>
      <x:c r="L213" s="48" t="n">
        <x:v>1000</x:v>
      </x:c>
      <x:c r="M213" s="48" t="n">
        <x:v>40</x:v>
      </x:c>
      <x:c r="N213" s="48" t="n">
        <x:v>0.62</x:v>
      </x:c>
      <x:c r="O213" s="48" t="n">
        <x:v>0.53</x:v>
      </x:c>
      <x:c r="P213" s="48" t="n">
        <x:v>0.6</x:v>
      </x:c>
      <x:c r="Q213" s="48" t="n">
        <x:v>0.48</x:v>
      </x:c>
      <x:c r="R213" s="31" t="str">
        <x:v>ok</x:v>
      </x:c>
      <x:c r="S213" s="51" t="n">
        <x:v>0.9902000427246094</x:v>
      </x:c>
      <x:c r="T213" s="31" t="str">
        <x:v>https://mp.weixin.qq.com/s?__biz=MzUxOTMxNjk0OQ==&amp;mid=2247502965&amp;idx=1&amp;sn=77cef2b5b026900db01afa6af3057176&amp;chksm=f9f9f8cfce8e71d9d2f608ff72fbd96b690aae4a8256a3894d32638c54dd51ed902a5409b0b9#rd</x:v>
      </x:c>
    </x:row>
    <x:row r="214">
      <x:c r="A214" s="36" t="d">
        <x:v>2025-08-01T00:00:00.000Z</x:v>
      </x:c>
      <x:c r="B214" s="48" t="n">
        <x:v>245.1</x:v>
      </x:c>
      <x:c r="C214" s="48" t="n">
        <x:v>142.09</x:v>
      </x:c>
      <x:c r="D214" s="48" t="n">
        <x:v>171.02</x:v>
      </x:c>
      <x:c r="E214" s="48" t="n">
        <x:v>114.22</x:v>
      </x:c>
      <x:c r="F214" s="48" t="n">
        <x:v>1000</x:v>
      </x:c>
      <x:c r="G214" s="48" t="n">
        <x:v>40</x:v>
      </x:c>
      <x:c r="H214" s="48" t="n">
        <x:v>1000</x:v>
      </x:c>
      <x:c r="I214" s="48" t="n">
        <x:v>40</x:v>
      </x:c>
      <x:c r="J214" s="48" t="n">
        <x:v>1000</x:v>
      </x:c>
      <x:c r="K214" s="48" t="n">
        <x:v>40</x:v>
      </x:c>
      <x:c r="L214" s="48" t="n">
        <x:v>1000</x:v>
      </x:c>
      <x:c r="M214" s="48" t="n">
        <x:v>40</x:v>
      </x:c>
      <x:c r="N214" s="48" t="n">
        <x:v>0.33</x:v>
      </x:c>
      <x:c r="O214" s="48" t="n">
        <x:v>0.68</x:v>
      </x:c>
      <x:c r="P214" s="48" t="n">
        <x:v>0.46</x:v>
      </x:c>
      <x:c r="Q214" s="48" t="n">
        <x:v>0.59</x:v>
      </x:c>
      <x:c r="R214" s="31" t="str">
        <x:v>ok</x:v>
      </x:c>
      <x:c r="S214" s="51" t="n">
        <x:v>0.9999905228614807</x:v>
      </x:c>
      <x:c r="T214" s="31" t="str">
        <x:v>https://mp.weixin.qq.com/s?__biz=MzUxOTMxNjk0OQ==&amp;mid=2247502967&amp;idx=1&amp;sn=efc5ac5745145e62654f9c15bdf679dd&amp;chksm=f9f9f8cdce8e71db8880be3900679fcef123c2b02fba312c3cc59bd31438fd57c7d4370f8cfb#rd</x:v>
      </x:c>
    </x:row>
    <x:row r="215">
      <x:c r="A215" s="36" t="d">
        <x:v>2025-08-02T00:00:00.000Z</x:v>
      </x:c>
      <x:c r="B215" s="48" t="n">
        <x:v>212.02</x:v>
      </x:c>
      <x:c r="C215" s="48" t="n">
        <x:v>102.1</x:v>
      </x:c>
      <x:c r="D215" s="48" t="n">
        <x:v>169.78</x:v>
      </x:c>
      <x:c r="E215" s="48" t="n">
        <x:v>93.53</x:v>
      </x:c>
      <x:c r="F215" s="48" t="n">
        <x:v>1000</x:v>
      </x:c>
      <x:c r="G215" s="48" t="n">
        <x:v>40</x:v>
      </x:c>
      <x:c r="H215" s="48" t="n">
        <x:v>1000</x:v>
      </x:c>
      <x:c r="I215" s="48" t="n">
        <x:v>40</x:v>
      </x:c>
      <x:c r="J215" s="48" t="n">
        <x:v>1000</x:v>
      </x:c>
      <x:c r="K215" s="48" t="n">
        <x:v>40</x:v>
      </x:c>
      <x:c r="L215" s="48" t="n">
        <x:v>1000</x:v>
      </x:c>
      <x:c r="M215" s="48" t="n">
        <x:v>40</x:v>
      </x:c>
      <x:c r="N215" s="48" t="n">
        <x:v>0.46</x:v>
      </x:c>
      <x:c r="O215" s="48" t="n">
        <x:v>0.68</x:v>
      </x:c>
      <x:c r="P215" s="48" t="n">
        <x:v>0.62</x:v>
      </x:c>
      <x:c r="Q215" s="48" t="n">
        <x:v>0.65</x:v>
      </x:c>
      <x:c r="R215" s="31" t="str">
        <x:v>ok</x:v>
      </x:c>
      <x:c r="S215" s="51" t="n">
        <x:v>0.9741836786270142</x:v>
      </x:c>
      <x:c r="T215" s="31" t="str">
        <x:v>https://mp.weixin.qq.com/s?__biz=MzUxOTMxNjk0OQ==&amp;mid=2247502971&amp;idx=1&amp;sn=c3de153232e15807a182f5569b3e5b83&amp;chksm=f9f9f8c1ce8e71d71ad2cc9802fd0e01aa54e1a7587c72e061c7273ccdfc9420560e9cb6387f#rd</x:v>
      </x:c>
    </x:row>
    <x:row r="216">
      <x:c r="A216" s="36" t="d">
        <x:v>2025-08-03T00:00:00.000Z</x:v>
      </x:c>
      <x:c r="B216" s="48" t="n">
        <x:v>252.97</x:v>
      </x:c>
      <x:c r="C216" s="48" t="n">
        <x:v>113.59</x:v>
      </x:c>
      <x:c r="D216" s="48" t="n">
        <x:v>289.9</x:v>
      </x:c>
      <x:c r="E216" s="48" t="n">
        <x:v>150.58</x:v>
      </x:c>
      <x:c r="F216" s="48" t="n">
        <x:v>1000</x:v>
      </x:c>
      <x:c r="G216" s="48" t="n">
        <x:v>40</x:v>
      </x:c>
      <x:c r="H216" s="48" t="n">
        <x:v>1000</x:v>
      </x:c>
      <x:c r="I216" s="48" t="n">
        <x:v>40</x:v>
      </x:c>
      <x:c r="J216" s="48" t="n">
        <x:v>1000</x:v>
      </x:c>
      <x:c r="K216" s="48" t="n">
        <x:v>40</x:v>
      </x:c>
      <x:c r="L216" s="48" t="n">
        <x:v>1000</x:v>
      </x:c>
      <x:c r="M216" s="48" t="n">
        <x:v>40</x:v>
      </x:c>
      <x:c r="N216" s="48" t="n">
        <x:v>0.4</x:v>
      </x:c>
      <x:c r="O216" s="48" t="n">
        <x:v>0.69</x:v>
      </x:c>
      <x:c r="P216" s="48" t="n">
        <x:v>0.46</x:v>
      </x:c>
      <x:c r="Q216" s="48" t="n">
        <x:v>0.65</x:v>
      </x:c>
      <x:c r="R216" s="31" t="str">
        <x:v>ok</x:v>
      </x:c>
      <x:c r="S216" s="51" t="n">
        <x:v>0.9965587854385376</x:v>
      </x:c>
      <x:c r="T216" s="31" t="str">
        <x:v>https://mp.weixin.qq.com/s?__biz=MzUxOTMxNjk0OQ==&amp;mid=2247503014&amp;idx=3&amp;sn=0fbb075bae25807b2ac41a357c79d631&amp;chksm=f9f9f81cce8e710a9ba2e45c72040ac2ee1713d5e6e31959f53ae1032769df9a72073f492efb#rd</x:v>
      </x:c>
    </x:row>
    <x:row r="217">
      <x:c r="A217" s="36" t="d">
        <x:v>2025-08-04T00:00:00.000Z</x:v>
      </x:c>
      <x:c r="B217" s="48" t="n">
        <x:v>358.97</x:v>
      </x:c>
      <x:c r="C217" s="48" t="n">
        <x:v>267.73</x:v>
      </x:c>
      <x:c r="D217" s="48" t="n">
        <x:v>342.68</x:v>
      </x:c>
      <x:c r="E217" s="48" t="n">
        <x:v>404.41</x:v>
      </x:c>
      <x:c r="F217" s="48" t="n">
        <x:v>1000</x:v>
      </x:c>
      <x:c r="G217" s="48" t="n">
        <x:v>40</x:v>
      </x:c>
      <x:c r="H217" s="48" t="n">
        <x:v>1000</x:v>
      </x:c>
      <x:c r="I217" s="48" t="n">
        <x:v>40</x:v>
      </x:c>
      <x:c r="J217" s="48" t="n">
        <x:v>1000</x:v>
      </x:c>
      <x:c r="K217" s="48" t="n">
        <x:v>40</x:v>
      </x:c>
      <x:c r="L217" s="48" t="n">
        <x:v>1000</x:v>
      </x:c>
      <x:c r="M217" s="48" t="n">
        <x:v>40</x:v>
      </x:c>
      <x:c r="N217" s="48" t="n">
        <x:v>0.31</x:v>
      </x:c>
      <x:c r="O217" s="48" t="n">
        <x:v>0.42</x:v>
      </x:c>
      <x:c r="P217" s="48" t="n">
        <x:v>0.3</x:v>
      </x:c>
      <x:c r="Q217" s="48" t="n">
        <x:v>0.37</x:v>
      </x:c>
      <x:c r="R217" s="31" t="str">
        <x:v>ok</x:v>
      </x:c>
      <x:c r="S217" s="51" t="n">
        <x:v>0.9946331977844238</x:v>
      </x:c>
      <x:c r="T217" s="31" t="str">
        <x:v>https://mp.weixin.qq.com/s?__biz=MzUxOTMxNjk0OQ==&amp;mid=2247503028&amp;idx=3&amp;sn=e480eca3fb819b3da80511aabe8c575d&amp;chksm=f9f9f80ece8e7118092173f4baae2a5247124d2b696ec13888461b35e4055b642920e4a4a5b5#rd</x:v>
      </x:c>
    </x:row>
    <x:row r="218">
      <x:c r="A218" s="36" t="d">
        <x:v>2025-08-05T00:00:00.000Z</x:v>
      </x:c>
      <x:c r="B218" s="48" t="n">
        <x:v>251.81</x:v>
      </x:c>
      <x:c r="C218" s="48" t="n">
        <x:v>83.88</x:v>
      </x:c>
      <x:c r="D218" s="48" t="n">
        <x:v>456.93</x:v>
      </x:c>
      <x:c r="E218" s="48" t="n">
        <x:v>169.35</x:v>
      </x:c>
      <x:c r="F218" s="48" t="n">
        <x:v>600</x:v>
      </x:c>
      <x:c r="G218" s="48" t="n">
        <x:v>40</x:v>
      </x:c>
      <x:c r="H218" s="48" t="n">
        <x:v>748.17</x:v>
      </x:c>
      <x:c r="I218" s="48" t="n">
        <x:v>40</x:v>
      </x:c>
      <x:c r="J218" s="48" t="n">
        <x:v>1000</x:v>
      </x:c>
      <x:c r="K218" s="48" t="n">
        <x:v>40</x:v>
      </x:c>
      <x:c r="L218" s="48" t="n">
        <x:v>1000</x:v>
      </x:c>
      <x:c r="M218" s="48" t="n">
        <x:v>40</x:v>
      </x:c>
      <x:c r="N218" s="48" t="n">
        <x:v>0.24</x:v>
      </x:c>
      <x:c r="O218" s="48" t="n">
        <x:v>0.58</x:v>
      </x:c>
      <x:c r="P218" s="48" t="n">
        <x:v>0.24</x:v>
      </x:c>
      <x:c r="Q218" s="48" t="n">
        <x:v>0.5</x:v>
      </x:c>
      <x:c r="R218" s="31" t="str">
        <x:v>ok</x:v>
      </x:c>
      <x:c r="S218" s="51" t="n">
        <x:v>0.9741836786270142</x:v>
      </x:c>
      <x:c r="T218" s="31" t="str">
        <x:v>https://mp.weixin.qq.com/s?__biz=MzUxOTMxNjk0OQ==&amp;mid=2247503053&amp;idx=2&amp;sn=d8a5fb7b7ec7a71dfe7542e0b38d8cf7&amp;chksm=f9f9f877ce8e71611e6c6c4e9aa07c17694c2234880da69292d6794aab7ff81241ca3a01b12c#rd</x:v>
      </x:c>
    </x:row>
    <x:row r="219">
      <x:c r="A219" s="36" t="d">
        <x:v>2025-08-06T00:00:00.000Z</x:v>
      </x:c>
      <x:c r="B219" s="48" t="n">
        <x:v>313.16</x:v>
      </x:c>
      <x:c r="C219" s="48" t="n">
        <x:v>85.8</x:v>
      </x:c>
      <x:c r="D219" s="48" t="n">
        <x:v>499.28</x:v>
      </x:c>
      <x:c r="E219" s="48" t="n">
        <x:v>207.15</x:v>
      </x:c>
      <x:c r="F219" s="48" t="n">
        <x:v>1000</x:v>
      </x:c>
      <x:c r="G219" s="48" t="n">
        <x:v>40</x:v>
      </x:c>
      <x:c r="H219" s="48" t="n">
        <x:v>1000</x:v>
      </x:c>
      <x:c r="I219" s="48" t="n">
        <x:v>40</x:v>
      </x:c>
      <x:c r="J219" s="48" t="n">
        <x:v>1000</x:v>
      </x:c>
      <x:c r="K219" s="48" t="n">
        <x:v>40</x:v>
      </x:c>
      <x:c r="L219" s="48" t="n">
        <x:v>1000</x:v>
      </x:c>
      <x:c r="M219" s="48" t="n">
        <x:v>40</x:v>
      </x:c>
      <x:c r="N219" s="48" t="n">
        <x:v>0.21</x:v>
      </x:c>
      <x:c r="O219" s="48" t="n">
        <x:v>0.7</x:v>
      </x:c>
      <x:c r="P219" s="48" t="n">
        <x:v>0.16</x:v>
      </x:c>
      <x:c r="Q219" s="48" t="n">
        <x:v>0.59</x:v>
      </x:c>
      <x:c r="R219" s="31" t="str">
        <x:v>ok</x:v>
      </x:c>
      <x:c r="S219" s="51" t="n">
        <x:v>0.9999834299087524</x:v>
      </x:c>
      <x:c r="T219" s="31" t="str">
        <x:v>https://mp.weixin.qq.com/s?__biz=MzUxOTMxNjk0OQ==&amp;mid=2247503097&amp;idx=1&amp;sn=216b405f18b5b975185f230f5d03f1f9&amp;chksm=f9f9f843ce8e7155d7d383a97144904bc89eb59847e3ba6b2a65989e514f14f3f8fd7ca2a8fd#rd</x:v>
      </x:c>
    </x:row>
    <x:row r="220">
      <x:c r="A220" s="36" t="d">
        <x:v>2025-08-07T00:00:00.000Z</x:v>
      </x:c>
      <x:c r="B220" s="48" t="n">
        <x:v>271.27</x:v>
      </x:c>
      <x:c r="C220" s="48" t="n">
        <x:v>172.17</x:v>
      </x:c>
      <x:c r="D220" s="48" t="n">
        <x:v>400.21</x:v>
      </x:c>
      <x:c r="E220" s="48" t="n">
        <x:v>262.95</x:v>
      </x:c>
      <x:c r="F220" s="48" t="n">
        <x:v>1000</x:v>
      </x:c>
      <x:c r="G220" s="48" t="n">
        <x:v>40</x:v>
      </x:c>
      <x:c r="H220" s="48" t="n">
        <x:v>1000</x:v>
      </x:c>
      <x:c r="I220" s="48" t="n">
        <x:v>40</x:v>
      </x:c>
      <x:c r="J220" s="48" t="n">
        <x:v>1000</x:v>
      </x:c>
      <x:c r="K220" s="48" t="n">
        <x:v>40</x:v>
      </x:c>
      <x:c r="L220" s="48" t="n">
        <x:v>1000</x:v>
      </x:c>
      <x:c r="M220" s="48" t="n">
        <x:v>40</x:v>
      </x:c>
      <x:c r="N220" s="48" t="n">
        <x:v>0.34</x:v>
      </x:c>
      <x:c r="O220" s="48" t="n">
        <x:v>0.6</x:v>
      </x:c>
      <x:c r="P220" s="48" t="n">
        <x:v>0.22</x:v>
      </x:c>
      <x:c r="Q220" s="48" t="n">
        <x:v>0.48</x:v>
      </x:c>
      <x:c r="R220" s="31" t="str">
        <x:v>ok</x:v>
      </x:c>
      <x:c r="S220" s="51" t="n">
        <x:v>0.9672132730484009</x:v>
      </x:c>
      <x:c r="T220" s="31" t="str">
        <x:v>https://mp.weixin.qq.com/s?__biz=MzUxOTMxNjk0OQ==&amp;mid=2247503099&amp;idx=1&amp;sn=9b79f1aea729990e42b92589b2cde89e&amp;chksm=f9f9f841ce8e7157066989e509051010bf8ba6fca58831f8ab72af14d618da7b2a3c3dbeca8e#rd</x:v>
      </x:c>
    </x:row>
    <x:row r="221">
      <x:c r="A221" s="36" t="d">
        <x:v>2025-08-08T00:00:00.000Z</x:v>
      </x:c>
      <x:c r="B221" s="48" t="n">
        <x:v>276.23</x:v>
      </x:c>
      <x:c r="C221" s="48" t="n">
        <x:v>231.11</x:v>
      </x:c>
      <x:c r="D221" s="48" t="n">
        <x:v>301.24</x:v>
      </x:c>
      <x:c r="E221" s="48" t="n">
        <x:v>334.61</x:v>
      </x:c>
      <x:c r="F221" s="48" t="n">
        <x:v>1000</x:v>
      </x:c>
      <x:c r="G221" s="48" t="n">
        <x:v>40</x:v>
      </x:c>
      <x:c r="H221" s="48" t="n">
        <x:v>1000</x:v>
      </x:c>
      <x:c r="I221" s="48" t="n">
        <x:v>40</x:v>
      </x:c>
      <x:c r="J221" s="48" t="n">
        <x:v>1000</x:v>
      </x:c>
      <x:c r="K221" s="48" t="n">
        <x:v>40</x:v>
      </x:c>
      <x:c r="L221" s="48" t="n">
        <x:v>1000</x:v>
      </x:c>
      <x:c r="M221" s="48" t="n">
        <x:v>40</x:v>
      </x:c>
      <x:c r="N221" s="48" t="n">
        <x:v>0.47</x:v>
      </x:c>
      <x:c r="O221" s="48" t="n">
        <x:v>0.4</x:v>
      </x:c>
      <x:c r="P221" s="48" t="n">
        <x:v>0.48</x:v>
      </x:c>
      <x:c r="Q221" s="48" t="n">
        <x:v>0.33</x:v>
      </x:c>
      <x:c r="R221" s="31" t="str">
        <x:v>ok</x:v>
      </x:c>
      <x:c r="S221" s="51" t="n">
        <x:v>0.9999821186065674</x:v>
      </x:c>
      <x:c r="T221" s="31" t="str">
        <x:v>https://mp.weixin.qq.com/s?__biz=MzUxOTMxNjk0OQ==&amp;mid=2247503101&amp;idx=1&amp;sn=26c83fc28b3b2a6283468cf44c8ee46d&amp;chksm=f9f9f847ce8e71515b6a2d5b86cc86cad8322b284162d29f6cecb8f56acd6e355cba3f33cb1e#rd</x:v>
      </x:c>
    </x:row>
    <x:row r="222">
      <x:c r="A222" s="36" t="d">
        <x:v>2025-08-09T00:00:00.000Z</x:v>
      </x:c>
      <x:c r="B222" s="48" t="n">
        <x:v>252.59</x:v>
      </x:c>
      <x:c r="C222" s="48" t="n">
        <x:v>105.06</x:v>
      </x:c>
      <x:c r="D222" s="48" t="n">
        <x:v>254.25</x:v>
      </x:c>
      <x:c r="E222" s="48" t="n">
        <x:v>82.92</x:v>
      </x:c>
      <x:c r="F222" s="48" t="n">
        <x:v>550</x:v>
      </x:c>
      <x:c r="G222" s="48" t="n">
        <x:v>40</x:v>
      </x:c>
      <x:c r="H222" s="48" t="n">
        <x:v>550</x:v>
      </x:c>
      <x:c r="I222" s="48" t="n">
        <x:v>40</x:v>
      </x:c>
      <x:c r="J222" s="48" t="n">
        <x:v>600</x:v>
      </x:c>
      <x:c r="K222" s="48" t="n">
        <x:v>40</x:v>
      </x:c>
      <x:c r="L222" s="48" t="n">
        <x:v>600</x:v>
      </x:c>
      <x:c r="M222" s="48" t="n">
        <x:v>40</x:v>
      </x:c>
      <x:c r="N222" s="48" t="n">
        <x:v>0.3</x:v>
      </x:c>
      <x:c r="O222" s="48" t="n">
        <x:v>0.57</x:v>
      </x:c>
      <x:c r="P222" s="48" t="n">
        <x:v>0.27</x:v>
      </x:c>
      <x:c r="Q222" s="48" t="n">
        <x:v>0.56</x:v>
      </x:c>
      <x:c r="R222" s="31" t="str">
        <x:v>ok</x:v>
      </x:c>
      <x:c r="S222" s="51" t="n">
        <x:v>0.9999969601631165</x:v>
      </x:c>
      <x:c r="T222" s="31" t="str">
        <x:v>https://mp.weixin.qq.com/s?__biz=MzUxOTMxNjk0OQ==&amp;mid=2247503129&amp;idx=1&amp;sn=8226e589256d783b080668090e43dcda&amp;chksm=f9f9f9a3ce8e70b5f1300c03790988ef9f8a25669b9cb3569a86db324e458b8ebbd5875375ca#rd</x:v>
      </x:c>
    </x:row>
    <x:row r="223">
      <x:c r="A223" s="36" t="d">
        <x:v>2025-08-10T00:00:00.000Z</x:v>
      </x:c>
      <x:c r="B223" s="48" t="n">
        <x:v>133.31</x:v>
      </x:c>
      <x:c r="C223" s="48" t="n">
        <x:v>62.96</x:v>
      </x:c>
      <x:c r="D223" s="48" t="n">
        <x:v>142.64</x:v>
      </x:c>
      <x:c r="E223" s="48" t="n">
        <x:v>56.06</x:v>
      </x:c>
      <x:c r="F223" s="48" t="n">
        <x:v>550</x:v>
      </x:c>
      <x:c r="G223" s="48" t="n">
        <x:v>40</x:v>
      </x:c>
      <x:c r="H223" s="48" t="n">
        <x:v>550</x:v>
      </x:c>
      <x:c r="I223" s="48" t="n">
        <x:v>40</x:v>
      </x:c>
      <x:c r="J223" s="48" t="n">
        <x:v>1000</x:v>
      </x:c>
      <x:c r="K223" s="48" t="n">
        <x:v>40</x:v>
      </x:c>
      <x:c r="L223" s="48" t="n">
        <x:v>1000</x:v>
      </x:c>
      <x:c r="M223" s="48" t="n">
        <x:v>40</x:v>
      </x:c>
      <x:c r="N223" s="48" t="n">
        <x:v>0.33</x:v>
      </x:c>
      <x:c r="O223" s="48" t="n">
        <x:v>0.45</x:v>
      </x:c>
      <x:c r="P223" s="48" t="n">
        <x:v>0.31</x:v>
      </x:c>
      <x:c r="Q223" s="48" t="n">
        <x:v>0.45</x:v>
      </x:c>
      <x:c r="R223" s="31" t="str">
        <x:v>ok</x:v>
      </x:c>
      <x:c r="S223" s="51" t="n">
        <x:v>0.9999788403511047</x:v>
      </x:c>
      <x:c r="T223" s="31" t="str">
        <x:v>https://mp.weixin.qq.com/s?__biz=MzUxOTMxNjk0OQ==&amp;mid=2247503133&amp;idx=1&amp;sn=a9e65eaaa1da4e50f31adff510972a57&amp;chksm=f9f9f9a7ce8e70b1517360903bcb2bf15e5723d0c8cde21b692aceccf7a8b21f80c79f262c41#rd</x:v>
      </x:c>
    </x:row>
    <x:row r="224">
      <x:c r="A224" s="36" t="d">
        <x:v>2025-08-11T00:00:00.000Z</x:v>
      </x:c>
      <x:c r="B224" s="48" t="n">
        <x:v>198.1</x:v>
      </x:c>
      <x:c r="C224" s="48" t="n">
        <x:v>67.42</x:v>
      </x:c>
      <x:c r="D224" s="48" t="n">
        <x:v>155.05</x:v>
      </x:c>
      <x:c r="E224" s="48" t="n">
        <x:v>59.53</x:v>
      </x:c>
      <x:c r="F224" s="48" t="n">
        <x:v>550</x:v>
      </x:c>
      <x:c r="G224" s="48" t="n">
        <x:v>40</x:v>
      </x:c>
      <x:c r="H224" s="48" t="n">
        <x:v>550</x:v>
      </x:c>
      <x:c r="I224" s="48" t="n">
        <x:v>40</x:v>
      </x:c>
      <x:c r="J224" s="48" t="n">
        <x:v>1000</x:v>
      </x:c>
      <x:c r="K224" s="48" t="n">
        <x:v>40</x:v>
      </x:c>
      <x:c r="L224" s="48" t="n">
        <x:v>1000</x:v>
      </x:c>
      <x:c r="M224" s="48" t="n">
        <x:v>40</x:v>
      </x:c>
      <x:c r="N224" s="48" t="n">
        <x:v>0.23</x:v>
      </x:c>
      <x:c r="O224" s="48" t="n">
        <x:v>0.69</x:v>
      </x:c>
      <x:c r="P224" s="48" t="n">
        <x:v>0.32</x:v>
      </x:c>
      <x:c r="Q224" s="48" t="n">
        <x:v>0.63</x:v>
      </x:c>
      <x:c r="R224" s="31" t="str">
        <x:v>ok</x:v>
      </x:c>
      <x:c r="S224" s="51" t="n">
        <x:v>0.999973714351654</x:v>
      </x:c>
      <x:c r="T224" s="31" t="str">
        <x:v>https://mp.weixin.qq.com/s?__biz=MzUxOTMxNjk0OQ==&amp;mid=2247503137&amp;idx=1&amp;sn=633db592675678a96fbe34a72ea66214&amp;chksm=f9f9f99bce8e708d864d5cbda370787fc72916fb672415ad9881b28b2f8930f082d9c37b7df8#rd</x:v>
      </x:c>
    </x:row>
    <x:row r="225">
      <x:c r="A225" s="36" t="d">
        <x:v>2025-08-12T00:00:00.000Z</x:v>
      </x:c>
      <x:c r="B225" s="48" t="n">
        <x:v>217.81</x:v>
      </x:c>
      <x:c r="C225" s="48" t="n">
        <x:v>66.19</x:v>
      </x:c>
      <x:c r="D225" s="48" t="n">
        <x:v>174.43</x:v>
      </x:c>
      <x:c r="E225" s="48" t="n">
        <x:v>63.65</x:v>
      </x:c>
      <x:c r="F225" s="48" t="n">
        <x:v>1000</x:v>
      </x:c>
      <x:c r="G225" s="48" t="n">
        <x:v>40</x:v>
      </x:c>
      <x:c r="H225" s="48" t="n">
        <x:v>1000</x:v>
      </x:c>
      <x:c r="I225" s="48" t="n">
        <x:v>40</x:v>
      </x:c>
      <x:c r="J225" s="48" t="n">
        <x:v>450</x:v>
      </x:c>
      <x:c r="K225" s="48" t="n">
        <x:v>40</x:v>
      </x:c>
      <x:c r="L225" s="48" t="n">
        <x:v>450</x:v>
      </x:c>
      <x:c r="M225" s="48" t="n">
        <x:v>40</x:v>
      </x:c>
      <x:c r="N225" s="48" t="n">
        <x:v>0.37</x:v>
      </x:c>
      <x:c r="O225" s="48" t="n">
        <x:v>0.64</x:v>
      </x:c>
      <x:c r="P225" s="48" t="n">
        <x:v>0.35</x:v>
      </x:c>
      <x:c r="Q225" s="48" t="n">
        <x:v>0.57</x:v>
      </x:c>
      <x:c r="R225" s="31" t="str">
        <x:v>ok</x:v>
      </x:c>
      <x:c r="S225" s="51" t="n">
        <x:v>0.9999823570251465</x:v>
      </x:c>
      <x:c r="T225" s="31" t="str">
        <x:v>https://mp.weixin.qq.com/s?__biz=MzUxOTMxNjk0OQ==&amp;mid=2247503141&amp;idx=1&amp;sn=ade197971f949bcc5f1613a179b93408&amp;chksm=f9f9f99fce8e70896acb233c263eb962d4328d1896df8c29d2890a8e6e18fba3da828b583d56#rd</x:v>
      </x:c>
    </x:row>
    <x:row r="226">
      <x:c r="A226" s="36" t="d">
        <x:v>2025-08-13T00:00:00.000Z</x:v>
      </x:c>
      <x:c r="B226" s="48" t="n">
        <x:v>273.2</x:v>
      </x:c>
      <x:c r="C226" s="48" t="n">
        <x:v>65.01</x:v>
      </x:c>
      <x:c r="D226" s="48" t="n">
        <x:v>109.8</x:v>
      </x:c>
      <x:c r="E226" s="48" t="n">
        <x:v>57.96</x:v>
      </x:c>
      <x:c r="F226" s="48" t="n">
        <x:v>600</x:v>
      </x:c>
      <x:c r="G226" s="48" t="n">
        <x:v>40</x:v>
      </x:c>
      <x:c r="H226" s="48" t="n">
        <x:v>600</x:v>
      </x:c>
      <x:c r="I226" s="48" t="n">
        <x:v>40</x:v>
      </x:c>
      <x:c r="J226" s="48" t="n">
        <x:v>600</x:v>
      </x:c>
      <x:c r="K226" s="48" t="n">
        <x:v>40</x:v>
      </x:c>
      <x:c r="L226" s="48" t="n">
        <x:v>600</x:v>
      </x:c>
      <x:c r="M226" s="48" t="n">
        <x:v>40</x:v>
      </x:c>
      <x:c r="N226" s="48" t="n">
        <x:v>0.34</x:v>
      </x:c>
      <x:c r="O226" s="48" t="n">
        <x:v>0.71</x:v>
      </x:c>
      <x:c r="P226" s="48" t="n">
        <x:v>0.43</x:v>
      </x:c>
      <x:c r="Q226" s="48" t="n">
        <x:v>0.7</x:v>
      </x:c>
      <x:c r="R226" s="31" t="str">
        <x:v>ok</x:v>
      </x:c>
      <x:c r="S226" s="51" t="n">
        <x:v>0.9909547567367554</x:v>
      </x:c>
      <x:c r="T226" s="31" t="str">
        <x:v>https://mp.weixin.qq.com/s?__biz=MzUxOTMxNjk0OQ==&amp;mid=2247503145&amp;idx=1&amp;sn=234aa12b58a5a77ee1c84b9c6721f662&amp;chksm=f9f9f993ce8e7085925976b473f1a74032ee3ad67fc59605830db3a9b1952a8e11b6e6bb8b92#rd</x:v>
      </x:c>
    </x:row>
    <x:row r="227">
      <x:c r="A227" s="36" t="d">
        <x:v>2025-08-14T00:00:00.000Z</x:v>
      </x:c>
      <x:c r="B227" s="48" t="n">
        <x:v>141.93</x:v>
      </x:c>
      <x:c r="C227" s="48" t="n">
        <x:v>70.6</x:v>
      </x:c>
      <x:c r="D227" s="48" t="n">
        <x:v>137.87</x:v>
      </x:c>
      <x:c r="E227" s="48" t="n">
        <x:v>81.06</x:v>
      </x:c>
      <x:c r="F227" s="48" t="n">
        <x:v>700</x:v>
      </x:c>
      <x:c r="G227" s="48" t="n">
        <x:v>40</x:v>
      </x:c>
      <x:c r="H227" s="48" t="n">
        <x:v>700</x:v>
      </x:c>
      <x:c r="I227" s="48" t="n">
        <x:v>40</x:v>
      </x:c>
      <x:c r="J227" s="48" t="n">
        <x:v>700</x:v>
      </x:c>
      <x:c r="K227" s="48" t="n">
        <x:v>40</x:v>
      </x:c>
      <x:c r="L227" s="48" t="n">
        <x:v>1000</x:v>
      </x:c>
      <x:c r="M227" s="48" t="n">
        <x:v>40</x:v>
      </x:c>
      <x:c r="N227" s="48" t="n">
        <x:v>0.87</x:v>
      </x:c>
      <x:c r="O227" s="48" t="n">
        <x:v>0.64</x:v>
      </x:c>
      <x:c r="P227" s="48" t="n">
        <x:v>0.81</x:v>
      </x:c>
      <x:c r="Q227" s="48" t="n">
        <x:v>0.65</x:v>
      </x:c>
      <x:c r="R227" s="31" t="str">
        <x:v>ok</x:v>
      </x:c>
      <x:c r="S227" s="51" t="n">
        <x:v>0.9967250823974609</x:v>
      </x:c>
      <x:c r="T227" s="31" t="str">
        <x:v>https://mp.weixin.qq.com/s?__biz=MzUxOTMxNjk0OQ==&amp;mid=2247503151&amp;idx=1&amp;sn=e9d56b1abdb34dcc032ab031129ad342&amp;chksm=f9f9f995ce8e708332b9b728710a50ae28bcfbbb75549fffcef45ac7573da3a018a13e3dd3cc#rd</x:v>
      </x:c>
    </x:row>
    <x:row r="228">
      <x:c r="A228" s="36" t="d">
        <x:v>2025-08-15T00:00:00.000Z</x:v>
      </x:c>
      <x:c r="B228" s="48" t="n">
        <x:v>84.09</x:v>
      </x:c>
      <x:c r="C228" s="48" t="n">
        <x:v>84.53</x:v>
      </x:c>
      <x:c r="D228" s="48" t="n">
        <x:v>78.93</x:v>
      </x:c>
      <x:c r="E228" s="48" t="n">
        <x:v>130.4</x:v>
      </x:c>
      <x:c r="F228" s="48" t="n">
        <x:v>700</x:v>
      </x:c>
      <x:c r="G228" s="48" t="n">
        <x:v>40</x:v>
      </x:c>
      <x:c r="H228" s="48" t="n">
        <x:v>700</x:v>
      </x:c>
      <x:c r="I228" s="48" t="n">
        <x:v>40</x:v>
      </x:c>
      <x:c r="J228" s="48" t="n">
        <x:v>700</x:v>
      </x:c>
      <x:c r="K228" s="48" t="n">
        <x:v>40</x:v>
      </x:c>
      <x:c r="L228" s="48" t="n">
        <x:v>1000</x:v>
      </x:c>
      <x:c r="M228" s="48" t="n">
        <x:v>40</x:v>
      </x:c>
      <x:c r="N228" s="48" t="n">
        <x:v>0.93</x:v>
      </x:c>
      <x:c r="O228" s="48" t="n">
        <x:v>0.61</x:v>
      </x:c>
      <x:c r="P228" s="48" t="n">
        <x:v>0.96</x:v>
      </x:c>
      <x:c r="Q228" s="48" t="n">
        <x:v>0.52</x:v>
      </x:c>
      <x:c r="R228" s="31" t="str">
        <x:v>ok</x:v>
      </x:c>
      <x:c r="S228" s="51" t="n">
        <x:v>0.9996249079704285</x:v>
      </x:c>
      <x:c r="T228" s="31" t="str">
        <x:v>https://mp.weixin.qq.com/s?__biz=MzUxOTMxNjk0OQ==&amp;mid=2247503153&amp;idx=1&amp;sn=8c3d06ba43783b66a4c608157ca01b2e&amp;chksm=f9f9f98bce8e709da78891ded2ee3e51167c7897a107a372626b59ae2788e9f1b11ddc265fb3#rd</x:v>
      </x:c>
    </x:row>
    <x:row r="229">
      <x:c r="A229" s="36" t="d">
        <x:v>2025-08-16T00:00:00.000Z</x:v>
      </x:c>
      <x:c r="B229" s="48" t="n">
        <x:v>81.78</x:v>
      </x:c>
      <x:c r="C229" s="48" t="n">
        <x:v>70.94</x:v>
      </x:c>
      <x:c r="D229" s="48" t="n">
        <x:v>169.74</x:v>
      </x:c>
      <x:c r="E229" s="48" t="n">
        <x:v>76.73</x:v>
      </x:c>
      <x:c r="F229" s="48" t="n">
        <x:v>800</x:v>
      </x:c>
      <x:c r="G229" s="48" t="n">
        <x:v>40</x:v>
      </x:c>
      <x:c r="H229" s="48" t="n">
        <x:v>800</x:v>
      </x:c>
      <x:c r="I229" s="48" t="n">
        <x:v>40</x:v>
      </x:c>
      <x:c r="J229" s="48" t="n">
        <x:v>1000</x:v>
      </x:c>
      <x:c r="K229" s="48" t="n">
        <x:v>40</x:v>
      </x:c>
      <x:c r="L229" s="48" t="n">
        <x:v>1000</x:v>
      </x:c>
      <x:c r="M229" s="48" t="n">
        <x:v>40</x:v>
      </x:c>
      <x:c r="N229" s="48" t="n">
        <x:v>0.83</x:v>
      </x:c>
      <x:c r="O229" s="48" t="n">
        <x:v>0.61</x:v>
      </x:c>
      <x:c r="P229" s="48" t="n">
        <x:v>0.67</x:v>
      </x:c>
      <x:c r="Q229" s="48" t="n">
        <x:v>0.59</x:v>
      </x:c>
      <x:c r="R229" s="31" t="str">
        <x:v>ok</x:v>
      </x:c>
      <x:c r="S229" s="51" t="n">
        <x:v>0.9756782650947571</x:v>
      </x:c>
      <x:c r="T229" s="31" t="str">
        <x:v>https://mp.weixin.qq.com/s?__biz=MzUxOTMxNjk0OQ==&amp;mid=2247503158&amp;idx=1&amp;sn=0612b9167ad996fcafc3a99a3b98cfb7&amp;chksm=f9f9f98cce8e709a69212bc83093f2cefc0bc24cd9ccbff000b15cbdb681e59c5c3a4204de79#rd</x:v>
      </x:c>
    </x:row>
    <x:row r="230">
      <x:c r="A230" s="36" t="d">
        <x:v>2025-08-17T00:00:00.000Z</x:v>
      </x:c>
      <x:c r="B230" s="48" t="n">
        <x:v>140.83</x:v>
      </x:c>
      <x:c r="C230" s="48" t="n">
        <x:v>88.15</x:v>
      </x:c>
      <x:c r="D230" s="48" t="n">
        <x:v>127.53</x:v>
      </x:c>
      <x:c r="E230" s="48" t="n">
        <x:v>135.16</x:v>
      </x:c>
      <x:c r="F230" s="48" t="n">
        <x:v>709</x:v>
      </x:c>
      <x:c r="G230" s="48" t="n">
        <x:v>40</x:v>
      </x:c>
      <x:c r="H230" s="48" t="n">
        <x:v>709</x:v>
      </x:c>
      <x:c r="I230" s="48" t="n">
        <x:v>40</x:v>
      </x:c>
      <x:c r="J230" s="48" t="n">
        <x:v>707</x:v>
      </x:c>
      <x:c r="K230" s="48" t="n">
        <x:v>40</x:v>
      </x:c>
      <x:c r="L230" s="48" t="n">
        <x:v>707</x:v>
      </x:c>
      <x:c r="M230" s="48" t="n">
        <x:v>40</x:v>
      </x:c>
      <x:c r="N230" s="48" t="n">
        <x:v>0.83</x:v>
      </x:c>
      <x:c r="O230" s="48" t="n">
        <x:v>0.68</x:v>
      </x:c>
      <x:c r="P230" s="48" t="n">
        <x:v>0.79</x:v>
      </x:c>
      <x:c r="Q230" s="48" t="n">
        <x:v>0.65</x:v>
      </x:c>
      <x:c r="R230" s="31" t="str">
        <x:v>ok</x:v>
      </x:c>
      <x:c r="S230" s="51" t="n">
        <x:v>0.9999968409538269</x:v>
      </x:c>
      <x:c r="T230" s="31" t="str">
        <x:v>https://mp.weixin.qq.com/s?__biz=MzUxOTMxNjk0OQ==&amp;mid=2247503176&amp;idx=1&amp;sn=971947f846f007e351cf6ecdd874df1b&amp;chksm=f9f9f9f2ce8e70e47d8853c6b0e9601010fdba4a156c34822c6da203c924a25cf81cd4abc9ee#rd</x:v>
      </x:c>
    </x:row>
    <x:row r="231">
      <x:c r="A231" s="36" t="d">
        <x:v>2025-08-18T00:00:00.000Z</x:v>
      </x:c>
      <x:c r="B231" s="48" t="n">
        <x:v>149.76</x:v>
      </x:c>
      <x:c r="C231" s="48" t="n">
        <x:v>98.83</x:v>
      </x:c>
      <x:c r="D231" s="48" t="n">
        <x:v>126.8</x:v>
      </x:c>
      <x:c r="E231" s="48" t="n">
        <x:v>164.96</x:v>
      </x:c>
      <x:c r="F231" s="48" t="n">
        <x:v>1000</x:v>
      </x:c>
      <x:c r="G231" s="48" t="n">
        <x:v>40</x:v>
      </x:c>
      <x:c r="H231" s="48" t="n">
        <x:v>1000</x:v>
      </x:c>
      <x:c r="I231" s="48" t="n">
        <x:v>40</x:v>
      </x:c>
      <x:c r="J231" s="48" t="n">
        <x:v>1000</x:v>
      </x:c>
      <x:c r="K231" s="48" t="n">
        <x:v>40</x:v>
      </x:c>
      <x:c r="L231" s="48" t="n">
        <x:v>1000</x:v>
      </x:c>
      <x:c r="M231" s="48" t="n">
        <x:v>40</x:v>
      </x:c>
      <x:c r="N231" s="48" t="n">
        <x:v>0.92</x:v>
      </x:c>
      <x:c r="O231" s="48" t="n">
        <x:v>0.66</x:v>
      </x:c>
      <x:c r="P231" s="48" t="n">
        <x:v>0.92</x:v>
      </x:c>
      <x:c r="Q231" s="48" t="n">
        <x:v>0.6</x:v>
      </x:c>
      <x:c r="R231" s="31" t="str">
        <x:v>ok</x:v>
      </x:c>
      <x:c r="S231" s="51" t="n">
        <x:v>0.9999797344207764</x:v>
      </x:c>
      <x:c r="T231" s="31" t="str">
        <x:v>https://mp.weixin.qq.com/s?__biz=MzUxOTMxNjk0OQ==&amp;mid=2247503180&amp;idx=1&amp;sn=865e657d3cd128577cf0577deb84c12a&amp;chksm=f9f9f9f6ce8e70e05d0c82a6520d3ae8aad46959af142b16c7de0574de43ccbd0d199834c013#rd</x:v>
      </x:c>
    </x:row>
    <x:row r="232">
      <x:c r="A232" s="36" t="d">
        <x:v>2025-08-19T00:00:00.000Z</x:v>
      </x:c>
      <x:c r="B232" s="48" t="n">
        <x:v>154.57</x:v>
      </x:c>
      <x:c r="C232" s="48" t="n">
        <x:v>123.41</x:v>
      </x:c>
      <x:c r="D232" s="48" t="n">
        <x:v>157.55</x:v>
      </x:c>
      <x:c r="E232" s="48" t="n">
        <x:v>155.87</x:v>
      </x:c>
      <x:c r="F232" s="48" t="n">
        <x:v>1000</x:v>
      </x:c>
      <x:c r="G232" s="48" t="n">
        <x:v>40</x:v>
      </x:c>
      <x:c r="H232" s="48" t="n">
        <x:v>1000</x:v>
      </x:c>
      <x:c r="I232" s="48" t="n">
        <x:v>40</x:v>
      </x:c>
      <x:c r="J232" s="48" t="n">
        <x:v>1000</x:v>
      </x:c>
      <x:c r="K232" s="48" t="n">
        <x:v>40</x:v>
      </x:c>
      <x:c r="L232" s="48" t="n">
        <x:v>1000</x:v>
      </x:c>
      <x:c r="M232" s="48" t="n">
        <x:v>40</x:v>
      </x:c>
      <x:c r="N232" s="48" t="n">
        <x:v>0.88</x:v>
      </x:c>
      <x:c r="O232" s="48" t="n">
        <x:v>0.64</x:v>
      </x:c>
      <x:c r="P232" s="48" t="n">
        <x:v>0.76</x:v>
      </x:c>
      <x:c r="Q232" s="48" t="n">
        <x:v>0.58</x:v>
      </x:c>
      <x:c r="R232" s="31" t="str">
        <x:v>ok</x:v>
      </x:c>
      <x:c r="S232" s="51" t="n">
        <x:v>0.9999828934669495</x:v>
      </x:c>
      <x:c r="T232" s="31" t="str">
        <x:v>https://mp.weixin.qq.com/s?__biz=MzUxOTMxNjk0OQ==&amp;mid=2247503187&amp;idx=2&amp;sn=f83d32338bf187dfae04cd2c34ac2147&amp;chksm=f9f9f9e9ce8e70ff226f02d4cdc8deb38846b0efb7f03e35948524b92e26ded61d64ecda62f1#rd</x:v>
      </x:c>
    </x:row>
    <x:row r="233">
      <x:c r="A233" s="36" t="d">
        <x:v>2025-08-20T00:00:00.000Z</x:v>
      </x:c>
      <x:c r="B233" s="48" t="n">
        <x:v>199.8</x:v>
      </x:c>
      <x:c r="C233" s="48" t="n">
        <x:v>123.61</x:v>
      </x:c>
      <x:c r="D233" s="48" t="n">
        <x:v>122.04</x:v>
      </x:c>
      <x:c r="E233" s="48" t="n">
        <x:v>155.47</x:v>
      </x:c>
      <x:c r="F233" s="48" t="n">
        <x:v>850.62</x:v>
      </x:c>
      <x:c r="G233" s="48" t="n">
        <x:v>40</x:v>
      </x:c>
      <x:c r="H233" s="48" t="n">
        <x:v>1000</x:v>
      </x:c>
      <x:c r="I233" s="48" t="n">
        <x:v>40</x:v>
      </x:c>
      <x:c r="J233" s="48" t="n">
        <x:v>1000</x:v>
      </x:c>
      <x:c r="K233" s="48" t="n">
        <x:v>40</x:v>
      </x:c>
      <x:c r="L233" s="48" t="n">
        <x:v>1000</x:v>
      </x:c>
      <x:c r="M233" s="48" t="n">
        <x:v>40</x:v>
      </x:c>
      <x:c r="N233" s="48" t="n">
        <x:v>0.72</x:v>
      </x:c>
      <x:c r="O233" s="48" t="n">
        <x:v>0.67</x:v>
      </x:c>
      <x:c r="P233" s="48" t="n">
        <x:v>0.69</x:v>
      </x:c>
      <x:c r="Q233" s="48" t="n">
        <x:v>0.61</x:v>
      </x:c>
      <x:c r="R233" s="31" t="str">
        <x:v>ok</x:v>
      </x:c>
      <x:c r="S233" s="51" t="n">
        <x:v>0.926869809627533</x:v>
      </x:c>
      <x:c r="T233" s="31" t="str">
        <x:v>https://mp.weixin.qq.com/s?__biz=MzUxOTMxNjk0OQ==&amp;mid=2247503191&amp;idx=1&amp;sn=f3dc125fa70969d2ff43467308059cfd&amp;chksm=f9f9f9edce8e70fb816fdd2ce004f18123530ffc393b5c2cdaff7de92c7e98866df161573ec9#rd</x:v>
      </x:c>
    </x:row>
    <x:row r="234">
      <x:c r="A234" s="36" t="d">
        <x:v>2025-08-21T00:00:00.000Z</x:v>
      </x:c>
      <x:c r="B234" s="48" t="n">
        <x:v>286.42</x:v>
      </x:c>
      <x:c r="C234" s="48" t="n">
        <x:v>159.53</x:v>
      </x:c>
      <x:c r="D234" s="48" t="n">
        <x:v>297.81</x:v>
      </x:c>
      <x:c r="E234" s="48" t="n">
        <x:v>181.3</x:v>
      </x:c>
      <x:c r="F234" s="48" t="n">
        <x:v>460.85</x:v>
      </x:c>
      <x:c r="G234" s="48" t="n">
        <x:v>40</x:v>
      </x:c>
      <x:c r="H234" s="48" t="n">
        <x:v>549.77</x:v>
      </x:c>
      <x:c r="I234" s="48" t="n">
        <x:v>40</x:v>
      </x:c>
      <x:c r="J234" s="48" t="n">
        <x:v>460.85</x:v>
      </x:c>
      <x:c r="K234" s="48" t="n">
        <x:v>40</x:v>
      </x:c>
      <x:c r="L234" s="48" t="n">
        <x:v>460.85</x:v>
      </x:c>
      <x:c r="M234" s="48" t="n">
        <x:v>40</x:v>
      </x:c>
      <x:c r="N234" s="48" t="n">
        <x:v>0.39</x:v>
      </x:c>
      <x:c r="O234" s="48" t="n">
        <x:v>0.44</x:v>
      </x:c>
      <x:c r="P234" s="48" t="n">
        <x:v>0.34</x:v>
      </x:c>
      <x:c r="Q234" s="48" t="n">
        <x:v>0.37</x:v>
      </x:c>
      <x:c r="R234" s="31" t="str">
        <x:v>ok</x:v>
      </x:c>
      <x:c r="S234" s="51" t="n">
        <x:v>0.9999867081642151</x:v>
      </x:c>
      <x:c r="T234" s="31" t="str">
        <x:v>https://mp.weixin.qq.com/s?__biz=MzUxOTMxNjk0OQ==&amp;mid=2247503195&amp;idx=1&amp;sn=ab40138fb949d59f6c7221d2ddc71dbd&amp;chksm=f9f9f9e1ce8e70f764cfd4933d101ced35f9c739b8e1eb5e1ec6956f1ef6ceb4f843828a8391#rd</x:v>
      </x:c>
    </x:row>
    <x:row r="235">
      <x:c r="A235" s="36" t="d">
        <x:v>2025-08-22T00:00:00.000Z</x:v>
      </x:c>
      <x:c r="B235" s="48" t="n">
        <x:v>244.53</x:v>
      </x:c>
      <x:c r="C235" s="48" t="n">
        <x:v>153.32</x:v>
      </x:c>
      <x:c r="D235" s="48" t="n">
        <x:v>249.82</x:v>
      </x:c>
      <x:c r="E235" s="48" t="n">
        <x:v>215.13</x:v>
      </x:c>
      <x:c r="F235" s="48" t="n">
        <x:v>500</x:v>
      </x:c>
      <x:c r="G235" s="48" t="n">
        <x:v>40</x:v>
      </x:c>
      <x:c r="H235" s="48" t="n">
        <x:v>592.52</x:v>
      </x:c>
      <x:c r="I235" s="48" t="n">
        <x:v>40</x:v>
      </x:c>
      <x:c r="J235" s="48" t="n">
        <x:v>688.76</x:v>
      </x:c>
      <x:c r="K235" s="48" t="n">
        <x:v>40</x:v>
      </x:c>
      <x:c r="L235" s="48" t="n">
        <x:v>765.72</x:v>
      </x:c>
      <x:c r="M235" s="48" t="n">
        <x:v>40</x:v>
      </x:c>
      <x:c r="N235" s="48" t="n">
        <x:v>0.21</x:v>
      </x:c>
      <x:c r="O235" s="48" t="n">
        <x:v>0.48</x:v>
      </x:c>
      <x:c r="P235" s="48" t="n">
        <x:v>0.2</x:v>
      </x:c>
      <x:c r="Q235" s="48" t="n">
        <x:v>0.43</x:v>
      </x:c>
      <x:c r="R235" s="31" t="str">
        <x:v>ok</x:v>
      </x:c>
      <x:c r="S235" s="51" t="n">
        <x:v>0.9999971389770508</x:v>
      </x:c>
      <x:c r="T235" s="31" t="str">
        <x:v>https://mp.weixin.qq.com/s?__biz=MzUxOTMxNjk0OQ==&amp;mid=2247503199&amp;idx=1&amp;sn=522cbc54dd2416460642085516785394&amp;chksm=f9f9f9e5ce8e70f362bce9147e5c94e260fbd43355c878839e50f398543ccdafdf5a06c3f160#rd</x:v>
      </x:c>
    </x:row>
    <x:row r="236">
      <x:c r="A236" s="36" t="d">
        <x:v>2025-08-23T00:00:00.000Z</x:v>
      </x:c>
      <x:c r="B236" s="48" t="n">
        <x:v>253.37</x:v>
      </x:c>
      <x:c r="C236" s="48" t="n">
        <x:v>113.16</x:v>
      </x:c>
      <x:c r="D236" s="48" t="n">
        <x:v>225.65</x:v>
      </x:c>
      <x:c r="E236" s="48" t="n">
        <x:v>101.65</x:v>
      </x:c>
      <x:c r="F236" s="48" t="n">
        <x:v>1000</x:v>
      </x:c>
      <x:c r="G236" s="48" t="n">
        <x:v>40</x:v>
      </x:c>
      <x:c r="H236" s="48" t="n">
        <x:v>1000</x:v>
      </x:c>
      <x:c r="I236" s="48" t="n">
        <x:v>40</x:v>
      </x:c>
      <x:c r="J236" s="48" t="n">
        <x:v>500</x:v>
      </x:c>
      <x:c r="K236" s="48" t="n">
        <x:v>40</x:v>
      </x:c>
      <x:c r="L236" s="48" t="n">
        <x:v>500</x:v>
      </x:c>
      <x:c r="M236" s="48" t="n">
        <x:v>40</x:v>
      </x:c>
      <x:c r="N236" s="48" t="n">
        <x:v>0.37</x:v>
      </x:c>
      <x:c r="O236" s="48" t="n">
        <x:v>0.34</x:v>
      </x:c>
      <x:c r="P236" s="48" t="n">
        <x:v>0.3</x:v>
      </x:c>
      <x:c r="Q236" s="48" t="n">
        <x:v>0.3</x:v>
      </x:c>
      <x:c r="R236" s="31" t="str">
        <x:v>ok</x:v>
      </x:c>
      <x:c r="S236" s="51" t="n">
        <x:v>0.9999849200248718</x:v>
      </x:c>
      <x:c r="T236" s="31" t="str">
        <x:v>https://mp.weixin.qq.com/s?__biz=MzUxOTMxNjk0OQ==&amp;mid=2247503203&amp;idx=1&amp;sn=7b953894f6f043d52ee50ec873ba3e7b&amp;chksm=f9f9f9d9ce8e70cf16def32ec079774fee9290af72c6558b6a7b5a4c6f5c65491c74be46b0f7#rd</x:v>
      </x:c>
    </x:row>
    <x:row r="237">
      <x:c r="A237" s="36" t="d">
        <x:v>2025-08-24T00:00:00.000Z</x:v>
      </x:c>
      <x:c r="B237" s="48" t="n">
        <x:v>257.23</x:v>
      </x:c>
      <x:c r="C237" s="48" t="n">
        <x:v>93.09</x:v>
      </x:c>
      <x:c r="D237" s="48" t="n">
        <x:v>281.12</x:v>
      </x:c>
      <x:c r="E237" s="48" t="n">
        <x:v>58.24</x:v>
      </x:c>
      <x:c r="F237" s="48" t="n">
        <x:v>1000</x:v>
      </x:c>
      <x:c r="G237" s="48" t="n">
        <x:v>40</x:v>
      </x:c>
      <x:c r="H237" s="48" t="n">
        <x:v>1000</x:v>
      </x:c>
      <x:c r="I237" s="48" t="n">
        <x:v>40</x:v>
      </x:c>
      <x:c r="J237" s="48" t="n">
        <x:v>425.4</x:v>
      </x:c>
      <x:c r="K237" s="48" t="n">
        <x:v>40</x:v>
      </x:c>
      <x:c r="L237" s="48" t="n">
        <x:v>425.4</x:v>
      </x:c>
      <x:c r="M237" s="48" t="n">
        <x:v>40</x:v>
      </x:c>
      <x:c r="N237" s="48" t="n">
        <x:v>0.16</x:v>
      </x:c>
      <x:c r="O237" s="48" t="n">
        <x:v>0.55</x:v>
      </x:c>
      <x:c r="P237" s="48" t="n">
        <x:v>0.08</x:v>
      </x:c>
      <x:c r="Q237" s="48" t="n">
        <x:v>0.57</x:v>
      </x:c>
      <x:c r="R237" s="31" t="str">
        <x:v>ok</x:v>
      </x:c>
      <x:c r="S237" s="51" t="n">
        <x:v>0.997431755065918</x:v>
      </x:c>
      <x:c r="T237" s="31" t="str">
        <x:v>https://mp.weixin.qq.com/s?__biz=MzUxOTMxNjk0OQ==&amp;mid=2247503207&amp;idx=1&amp;sn=5435892cdfdf9eade634bfaf8acf6af1&amp;chksm=f9f9f9ddce8e70cbd59eb5c0653bfa0bc23e9a384c66e8303c5c85441d48e274ffb50ca6c53c#rd</x:v>
      </x:c>
    </x:row>
    <x:row r="238">
      <x:c r="A238" s="36" t="d">
        <x:v>2025-08-25T00:00:00.000Z</x:v>
      </x:c>
      <x:c r="B238" s="48" t="n">
        <x:v>168.73</x:v>
      </x:c>
      <x:c r="C238" s="48" t="n">
        <x:v>77.21</x:v>
      </x:c>
      <x:c r="D238" s="48" t="n">
        <x:v>258.13</x:v>
      </x:c>
      <x:c r="E238" s="48" t="n">
        <x:v>116</x:v>
      </x:c>
      <x:c r="F238" s="48" t="n">
        <x:v>1000</x:v>
      </x:c>
      <x:c r="G238" s="48" t="n">
        <x:v>40</x:v>
      </x:c>
      <x:c r="H238" s="48" t="n">
        <x:v>1000</x:v>
      </x:c>
      <x:c r="I238" s="48" t="n">
        <x:v>40</x:v>
      </x:c>
      <x:c r="J238" s="48" t="n">
        <x:v>1000</x:v>
      </x:c>
      <x:c r="K238" s="48" t="n">
        <x:v>40</x:v>
      </x:c>
      <x:c r="L238" s="48" t="n">
        <x:v>1000</x:v>
      </x:c>
      <x:c r="M238" s="48" t="n">
        <x:v>40</x:v>
      </x:c>
      <x:c r="N238" s="48" t="n">
        <x:v>0.36</x:v>
      </x:c>
      <x:c r="O238" s="48" t="n">
        <x:v>0.62</x:v>
      </x:c>
      <x:c r="P238" s="48" t="n">
        <x:v>0.21</x:v>
      </x:c>
      <x:c r="Q238" s="48" t="n">
        <x:v>0.55</x:v>
      </x:c>
      <x:c r="R238" s="31" t="str">
        <x:v>ok</x:v>
      </x:c>
      <x:c r="S238" s="51" t="n">
        <x:v>0.999982476234436</x:v>
      </x:c>
      <x:c r="T238" s="31" t="str">
        <x:v>https://mp.weixin.qq.com/s?__biz=MzUxOTMxNjk0OQ==&amp;mid=2247503222&amp;idx=1&amp;sn=7c2b102b2b57cb2212eee2a6536e48e3&amp;chksm=f9f9f9ccce8e70daefc00a7eb510fd9b94cd15be5d9441fca1d1e772e1fcfc7b2d1e054fc862#rd</x:v>
      </x:c>
    </x:row>
    <x:row r="239">
      <x:c r="A239" s="36" t="d">
        <x:v>2025-08-26T00:00:00.000Z</x:v>
      </x:c>
      <x:c r="B239" s="48" t="n">
        <x:v>111.26</x:v>
      </x:c>
      <x:c r="C239" s="48" t="n">
        <x:v>146.23</x:v>
      </x:c>
      <x:c r="D239" s="48" t="n">
        <x:v>152.54</x:v>
      </x:c>
      <x:c r="E239" s="48" t="n">
        <x:v>209.11</x:v>
      </x:c>
      <x:c r="F239" s="48" t="n">
        <x:v>807.84</x:v>
      </x:c>
      <x:c r="G239" s="48" t="n">
        <x:v>40</x:v>
      </x:c>
      <x:c r="H239" s="48" t="n">
        <x:v>807.84</x:v>
      </x:c>
      <x:c r="I239" s="48" t="n">
        <x:v>40</x:v>
      </x:c>
      <x:c r="J239" s="48" t="n">
        <x:v>1000</x:v>
      </x:c>
      <x:c r="K239" s="48" t="n">
        <x:v>40</x:v>
      </x:c>
      <x:c r="L239" s="48" t="n">
        <x:v>1000</x:v>
      </x:c>
      <x:c r="M239" s="48" t="n">
        <x:v>40</x:v>
      </x:c>
      <x:c r="N239" s="48" t="n">
        <x:v>0.99</x:v>
      </x:c>
      <x:c r="O239" s="48" t="n">
        <x:v>0.36</x:v>
      </x:c>
      <x:c r="P239" s="48" t="n">
        <x:v>0.94</x:v>
      </x:c>
      <x:c r="Q239" s="48" t="n">
        <x:v>0.3</x:v>
      </x:c>
      <x:c r="R239" s="31" t="str">
        <x:v>ok</x:v>
      </x:c>
      <x:c r="S239" s="51" t="n">
        <x:v>0.9887970089912415</x:v>
      </x:c>
      <x:c r="T239" s="31" t="str">
        <x:v>https://mp.weixin.qq.com/s?__biz=MzUxOTMxNjk0OQ==&amp;mid=2247503226&amp;idx=1&amp;sn=110941efb5961e86b98dffe90f1966ae&amp;chksm=f9f9f9c0ce8e70d626868132304efe4dfba6f44dadbde9f817d7877e3d5873b190e07ccdaa7d#rd</x:v>
      </x:c>
    </x:row>
    <x:row r="240">
      <x:c r="A240" s="36" t="d">
        <x:v>2025-08-27T00:00:00.000Z</x:v>
      </x:c>
      <x:c r="B240" s="48" t="n">
        <x:v>226.33</x:v>
      </x:c>
      <x:c r="C240" s="48" t="n">
        <x:v>267.74</x:v>
      </x:c>
      <x:c r="D240" s="48" t="n">
        <x:v>151.66</x:v>
      </x:c>
      <x:c r="E240" s="48" t="n">
        <x:v>281.41</x:v>
      </x:c>
      <x:c r="F240" s="48" t="n">
        <x:v>1000</x:v>
      </x:c>
      <x:c r="G240" s="48" t="n">
        <x:v>40</x:v>
      </x:c>
      <x:c r="H240" s="48" t="n">
        <x:v>1000</x:v>
      </x:c>
      <x:c r="I240" s="48" t="n">
        <x:v>40</x:v>
      </x:c>
      <x:c r="J240" s="48" t="n">
        <x:v>1000</x:v>
      </x:c>
      <x:c r="K240" s="48" t="n">
        <x:v>40</x:v>
      </x:c>
      <x:c r="L240" s="48" t="n">
        <x:v>1000</x:v>
      </x:c>
      <x:c r="M240" s="48" t="n">
        <x:v>40</x:v>
      </x:c>
      <x:c r="N240" s="48" t="n">
        <x:v>0.67</x:v>
      </x:c>
      <x:c r="O240" s="48" t="n">
        <x:v>0.38</x:v>
      </x:c>
      <x:c r="P240" s="48" t="n">
        <x:v>0.69</x:v>
      </x:c>
      <x:c r="Q240" s="48" t="n">
        <x:v>0.35</x:v>
      </x:c>
      <x:c r="R240" s="31" t="str">
        <x:v>ok</x:v>
      </x:c>
      <x:c r="S240" s="51" t="n">
        <x:v>0.999978244304657</x:v>
      </x:c>
      <x:c r="T240" s="31" t="str">
        <x:v>https://mp.weixin.qq.com/s?__biz=MzUxOTMxNjk0OQ==&amp;mid=2247503233&amp;idx=7&amp;sn=0f864ad9f8a705aed40f72587a5b2fa0&amp;chksm=f9f9f93bce8e702d52f28c79cc3524015673658b95cb17239253c5536a7f38c5b4b142778a6a#rd</x:v>
      </x:c>
    </x:row>
    <x:row r="241">
      <x:c r="A241" s="36" t="d">
        <x:v>2025-08-28T00:00:00.000Z</x:v>
      </x:c>
      <x:c r="B241" s="48" t="n">
        <x:v>260.68</x:v>
      </x:c>
      <x:c r="C241" s="48" t="n">
        <x:v>167.15</x:v>
      </x:c>
      <x:c r="D241" s="48" t="n">
        <x:v>289.72</x:v>
      </x:c>
      <x:c r="E241" s="48" t="n">
        <x:v>292.14</x:v>
      </x:c>
      <x:c r="F241" s="48" t="n">
        <x:v>423</x:v>
      </x:c>
      <x:c r="G241" s="48" t="n">
        <x:v>40</x:v>
      </x:c>
      <x:c r="H241" s="48" t="n">
        <x:v>423</x:v>
      </x:c>
      <x:c r="I241" s="48" t="n">
        <x:v>40</x:v>
      </x:c>
      <x:c r="J241" s="48" t="n">
        <x:v>460</x:v>
      </x:c>
      <x:c r="K241" s="48" t="n">
        <x:v>40</x:v>
      </x:c>
      <x:c r="L241" s="48" t="n">
        <x:v>479.42</x:v>
      </x:c>
      <x:c r="M241" s="48" t="n">
        <x:v>40</x:v>
      </x:c>
      <x:c r="N241" s="48" t="n">
        <x:v>0.36</x:v>
      </x:c>
      <x:c r="O241" s="48" t="n">
        <x:v>0.3</x:v>
      </x:c>
      <x:c r="P241" s="48" t="n">
        <x:v>0.31</x:v>
      </x:c>
      <x:c r="Q241" s="48" t="n">
        <x:v>0.27</x:v>
      </x:c>
      <x:c r="R241" s="31" t="str">
        <x:v>ok</x:v>
      </x:c>
      <x:c r="S241" s="51" t="n">
        <x:v>0.999984860420227</x:v>
      </x:c>
      <x:c r="T241" s="31" t="str">
        <x:v>https://mp.weixin.qq.com/s?__biz=MzUxOTMxNjk0OQ==&amp;mid=2247503237&amp;idx=1&amp;sn=de35e26e1bf3acc0def61ec498e8355f&amp;chksm=f9f9f93fce8e7029644d4ad597fe7e9124d57b7372336ddd50156883baa50ff7803a3224afb6#rd</x:v>
      </x:c>
    </x:row>
    <x:row r="242">
      <x:c r="A242" s="36" t="d">
        <x:v>2025-08-29T00:00:00.000Z</x:v>
      </x:c>
      <x:c r="B242" s="48" t="n">
        <x:v>213.74</x:v>
      </x:c>
      <x:c r="C242" s="48" t="n">
        <x:v>46</x:v>
      </x:c>
      <x:c r="D242" s="48" t="n">
        <x:v>167.26</x:v>
      </x:c>
      <x:c r="E242" s="48" t="n">
        <x:v>43.84</x:v>
      </x:c>
      <x:c r="F242" s="48" t="n">
        <x:v>385</x:v>
      </x:c>
      <x:c r="G242" s="48" t="n">
        <x:v>40</x:v>
      </x:c>
      <x:c r="H242" s="48" t="n">
        <x:v>385</x:v>
      </x:c>
      <x:c r="I242" s="48" t="n">
        <x:v>40</x:v>
      </x:c>
      <x:c r="J242" s="48" t="n">
        <x:v>384</x:v>
      </x:c>
      <x:c r="K242" s="48" t="n">
        <x:v>40</x:v>
      </x:c>
      <x:c r="L242" s="48" t="n">
        <x:v>384</x:v>
      </x:c>
      <x:c r="M242" s="48" t="n">
        <x:v>40</x:v>
      </x:c>
      <x:c r="N242" s="48" t="n">
        <x:v>0.31</x:v>
      </x:c>
      <x:c r="O242" s="48" t="n">
        <x:v>0.42</x:v>
      </x:c>
      <x:c r="P242" s="48" t="n">
        <x:v>0.34</x:v>
      </x:c>
      <x:c r="Q242" s="48" t="n">
        <x:v>0.35</x:v>
      </x:c>
      <x:c r="R242" s="31" t="str">
        <x:v>ok</x:v>
      </x:c>
      <x:c r="S242" s="51" t="n">
        <x:v>0.9999911785125732</x:v>
      </x:c>
      <x:c r="T242" s="31" t="str">
        <x:v>https://mp.weixin.qq.com/s?__biz=MzUxOTMxNjk0OQ==&amp;mid=2247503242&amp;idx=1&amp;sn=1a7e60c5ca9edab2f8a4364fed27fa40&amp;chksm=f9f9f930ce8e7026d90117e464feadf024a3f120d75d35fd7a2c2f5e24b2df52f9736d77b26d#rd</x:v>
      </x:c>
    </x:row>
    <x:row r="243">
      <x:c r="A243" s="36" t="d">
        <x:v>2025-08-30T00:00:00.000Z</x:v>
      </x:c>
      <x:c r="B243" s="48" t="n">
        <x:v>213.52</x:v>
      </x:c>
      <x:c r="C243" s="48" t="n">
        <x:v>53.23</x:v>
      </x:c>
      <x:c r="D243" s="48" t="n">
        <x:v>284.08</x:v>
      </x:c>
      <x:c r="E243" s="48" t="n">
        <x:v>59.16</x:v>
      </x:c>
      <x:c r="F243" s="48" t="n">
        <x:v>421</x:v>
      </x:c>
      <x:c r="G243" s="48" t="n">
        <x:v>40</x:v>
      </x:c>
      <x:c r="H243" s="48" t="n">
        <x:v>421</x:v>
      </x:c>
      <x:c r="I243" s="48" t="n">
        <x:v>40</x:v>
      </x:c>
      <x:c r="J243" s="48" t="n">
        <x:v>423</x:v>
      </x:c>
      <x:c r="K243" s="48" t="n">
        <x:v>40</x:v>
      </x:c>
      <x:c r="L243" s="48" t="n">
        <x:v>423</x:v>
      </x:c>
      <x:c r="M243" s="48" t="n">
        <x:v>40</x:v>
      </x:c>
      <x:c r="N243" s="48" t="n">
        <x:v>0.2</x:v>
      </x:c>
      <x:c r="O243" s="48" t="n">
        <x:v>0.51</x:v>
      </x:c>
      <x:c r="P243" s="48" t="n">
        <x:v>0.18</x:v>
      </x:c>
      <x:c r="Q243" s="48" t="n">
        <x:v>0.48</x:v>
      </x:c>
      <x:c r="R243" s="31" t="str">
        <x:v>ok</x:v>
      </x:c>
      <x:c r="S243" s="51" t="n">
        <x:v>0.999987781047821</x:v>
      </x:c>
      <x:c r="T243" s="31" t="str">
        <x:v>https://mp.weixin.qq.com/s?__biz=MzUxOTMxNjk0OQ==&amp;mid=2247503251&amp;idx=1&amp;sn=8b3a71f9009df9d5c665c5d5ffac560f&amp;chksm=f9f9f929ce8e703fb8822b2b31e265290c8ee207821fa96447e50b5ead3e4e0722a2347595a1#rd</x:v>
      </x:c>
    </x:row>
    <x:row r="244">
      <x:c r="A244" s="36" t="d">
        <x:v>2025-08-31T00:00:00.000Z</x:v>
      </x:c>
      <x:c r="B244" s="48" t="n">
        <x:v>236.6</x:v>
      </x:c>
      <x:c r="C244" s="48" t="n">
        <x:v>51.74</x:v>
      </x:c>
      <x:c r="D244" s="48" t="n">
        <x:v>248.91</x:v>
      </x:c>
      <x:c r="E244" s="48" t="n">
        <x:v>47.7</x:v>
      </x:c>
      <x:c r="F244" s="48" t="n">
        <x:v>453</x:v>
      </x:c>
      <x:c r="G244" s="48" t="n">
        <x:v>40</x:v>
      </x:c>
      <x:c r="H244" s="48" t="n">
        <x:v>453</x:v>
      </x:c>
      <x:c r="I244" s="48" t="n">
        <x:v>40</x:v>
      </x:c>
      <x:c r="J244" s="48" t="n">
        <x:v>421</x:v>
      </x:c>
      <x:c r="K244" s="48" t="n">
        <x:v>40</x:v>
      </x:c>
      <x:c r="L244" s="48" t="n">
        <x:v>421</x:v>
      </x:c>
      <x:c r="M244" s="48" t="n">
        <x:v>40</x:v>
      </x:c>
      <x:c r="N244" s="48" t="n">
        <x:v>0.29</x:v>
      </x:c>
      <x:c r="O244" s="48" t="n">
        <x:v>0.58</x:v>
      </x:c>
      <x:c r="P244" s="48" t="n">
        <x:v>0.24</x:v>
      </x:c>
      <x:c r="Q244" s="48" t="n">
        <x:v>0.58</x:v>
      </x:c>
      <x:c r="R244" s="31" t="str">
        <x:v>ok</x:v>
      </x:c>
      <x:c r="S244" s="51" t="n">
        <x:v>0.9997802972793579</x:v>
      </x:c>
      <x:c r="T244" s="31" t="str">
        <x:v>https://mp.weixin.qq.com/s?__biz=MzUxOTMxNjk0OQ==&amp;mid=2247503264&amp;idx=1&amp;sn=814b0f0df779832abcc902d1756e1355&amp;chksm=f9f9f91ace8e700c428f25ade654fcf7b1175413fe56151a352f54c50c3c312117bf29835084#rd</x:v>
      </x:c>
    </x:row>
    <x:row r="245">
      <x:c r="A245" s="36" t="d">
        <x:v>2025-09-01T00:00:00.000Z</x:v>
      </x:c>
      <x:c r="B245" s="48" t="n">
        <x:v>209.91</x:v>
      </x:c>
      <x:c r="C245" s="48" t="n">
        <x:v>63.11</x:v>
      </x:c>
      <x:c r="D245" s="48" t="n">
        <x:v>178.44</x:v>
      </x:c>
      <x:c r="E245" s="48" t="n">
        <x:v>59.95</x:v>
      </x:c>
      <x:c r="F245" s="48" t="n">
        <x:v>1000</x:v>
      </x:c>
      <x:c r="G245" s="48" t="n">
        <x:v>40</x:v>
      </x:c>
      <x:c r="H245" s="48" t="n">
        <x:v>1000</x:v>
      </x:c>
      <x:c r="I245" s="48" t="n">
        <x:v>40</x:v>
      </x:c>
      <x:c r="J245" s="48" t="n">
        <x:v>1000</x:v>
      </x:c>
      <x:c r="K245" s="48" t="n">
        <x:v>40</x:v>
      </x:c>
      <x:c r="L245" s="48" t="n">
        <x:v>1000</x:v>
      </x:c>
      <x:c r="M245" s="48" t="n">
        <x:v>40</x:v>
      </x:c>
      <x:c r="N245" s="48" t="n">
        <x:v>0.74</x:v>
      </x:c>
      <x:c r="O245" s="48" t="n">
        <x:v>0.66</x:v>
      </x:c>
      <x:c r="P245" s="48" t="n">
        <x:v>0.77</x:v>
      </x:c>
      <x:c r="Q245" s="48" t="n">
        <x:v>0.6</x:v>
      </x:c>
      <x:c r="R245" s="31" t="str">
        <x:v>ok</x:v>
      </x:c>
      <x:c r="S245" s="51" t="n">
        <x:v>0.9903621673583984</x:v>
      </x:c>
      <x:c r="T245" s="31" t="str">
        <x:v>https://mp.weixin.qq.com/s?__biz=MzUxOTMxNjk0OQ==&amp;mid=2247503268&amp;idx=1&amp;sn=201e18ad0f17f961eddb78ee1181cd50&amp;chksm=f9f9f91ece8e70089bcf2a83fd607667b42fc15db0e896e248e9e3f6015d22ca7a8815afc734#rd</x:v>
      </x:c>
    </x:row>
    <x:row r="246">
      <x:c r="A246" s="36" t="d">
        <x:v>2025-09-02T00:00:00.000Z</x:v>
      </x:c>
      <x:c r="B246" s="48" t="n">
        <x:v>148.84</x:v>
      </x:c>
      <x:c r="C246" s="48" t="n">
        <x:v>224.33</x:v>
      </x:c>
      <x:c r="D246" s="48" t="n">
        <x:v>209.87</x:v>
      </x:c>
      <x:c r="E246" s="48" t="n">
        <x:v>639.58</x:v>
      </x:c>
      <x:c r="F246" s="48" t="n">
        <x:v>1000</x:v>
      </x:c>
      <x:c r="G246" s="48" t="n">
        <x:v>40</x:v>
      </x:c>
      <x:c r="H246" s="48" t="n">
        <x:v>1000</x:v>
      </x:c>
      <x:c r="I246" s="48" t="n">
        <x:v>40</x:v>
      </x:c>
      <x:c r="J246" s="48" t="n">
        <x:v>1000</x:v>
      </x:c>
      <x:c r="K246" s="48" t="n">
        <x:v>40</x:v>
      </x:c>
      <x:c r="L246" s="48" t="n">
        <x:v>1000</x:v>
      </x:c>
      <x:c r="M246" s="48" t="n">
        <x:v>40</x:v>
      </x:c>
      <x:c r="N246" s="48" t="n">
        <x:v>0.64</x:v>
      </x:c>
      <x:c r="O246" s="48" t="n">
        <x:v>0.34</x:v>
      </x:c>
      <x:c r="P246" s="48" t="n">
        <x:v>0.57</x:v>
      </x:c>
      <x:c r="Q246" s="48" t="n">
        <x:v>0.26</x:v>
      </x:c>
      <x:c r="R246" s="31" t="str">
        <x:v>ok</x:v>
      </x:c>
      <x:c r="S246" s="51" t="n">
        <x:v>0.9999792575836182</x:v>
      </x:c>
      <x:c r="T246" s="31" t="str">
        <x:v>https://mp.weixin.qq.com/s?__biz=MzUxOTMxNjk0OQ==&amp;mid=2247503277&amp;idx=2&amp;sn=686a1fdd629067f5fcc4f3ff3b6580eb&amp;chksm=f9f9f917ce8e7001a482ebf4367ddd312bfcf42e05b5219761440c1212d2f732308fba5b7287#rd</x:v>
      </x:c>
    </x:row>
    <x:row r="247">
      <x:c r="A247" s="36" t="d">
        <x:v>2025-09-03T00:00:00.000Z</x:v>
      </x:c>
      <x:c r="B247" s="48" t="n">
        <x:v>177.19</x:v>
      </x:c>
      <x:c r="C247" s="48" t="n">
        <x:v>53.94</x:v>
      </x:c>
      <x:c r="D247" s="48" t="n">
        <x:v>238.73</x:v>
      </x:c>
      <x:c r="E247" s="48" t="n">
        <x:v>148.94</x:v>
      </x:c>
      <x:c r="F247" s="48" t="n">
        <x:v>1000</x:v>
      </x:c>
      <x:c r="G247" s="48" t="n">
        <x:v>40</x:v>
      </x:c>
      <x:c r="H247" s="48" t="n">
        <x:v>1000</x:v>
      </x:c>
      <x:c r="I247" s="48" t="n">
        <x:v>40</x:v>
      </x:c>
      <x:c r="J247" s="48" t="n">
        <x:v>674.47</x:v>
      </x:c>
      <x:c r="K247" s="48" t="n">
        <x:v>40</x:v>
      </x:c>
      <x:c r="L247" s="48" t="n">
        <x:v>427</x:v>
      </x:c>
      <x:c r="M247" s="48" t="n">
        <x:v>40</x:v>
      </x:c>
      <x:c r="N247" s="48" t="n">
        <x:v>0.34</x:v>
      </x:c>
      <x:c r="O247" s="48" t="n">
        <x:v>0.45</x:v>
      </x:c>
      <x:c r="P247" s="48" t="n">
        <x:v>0.19</x:v>
      </x:c>
      <x:c r="Q247" s="48" t="n">
        <x:v>0.41</x:v>
      </x:c>
      <x:c r="R247" s="31" t="str">
        <x:v>ok</x:v>
      </x:c>
      <x:c r="S247" s="51" t="n">
        <x:v>0.9971425533294678</x:v>
      </x:c>
      <x:c r="T247" s="31" t="str">
        <x:v>https://mp.weixin.qq.com/s?__biz=MzUxOTMxNjk0OQ==&amp;mid=2247503325&amp;idx=4&amp;sn=12cbcaf6b998b94089bb0b60fbae3bc7&amp;chksm=f9f9f967ce8e707192474f9f0df01d7215842c8d08e74e019cd0a49149056206ae12eb095a43#rd</x:v>
      </x:c>
    </x:row>
    <x:row r="248">
      <x:c r="A248" s="36" t="d">
        <x:v>2025-09-04T00:00:00.000Z</x:v>
      </x:c>
      <x:c r="B248" s="48" t="n">
        <x:v>222.36</x:v>
      </x:c>
      <x:c r="C248" s="48" t="n">
        <x:v>176.9</x:v>
      </x:c>
      <x:c r="D248" s="48" t="n">
        <x:v>357.79</x:v>
      </x:c>
      <x:c r="E248" s="48" t="n">
        <x:v>386.99</x:v>
      </x:c>
      <x:c r="F248" s="48" t="n">
        <x:v>422</x:v>
      </x:c>
      <x:c r="G248" s="48" t="n">
        <x:v>40</x:v>
      </x:c>
      <x:c r="H248" s="48" t="n">
        <x:v>422</x:v>
      </x:c>
      <x:c r="I248" s="48" t="n">
        <x:v>40</x:v>
      </x:c>
      <x:c r="J248" s="48" t="n">
        <x:v>1000</x:v>
      </x:c>
      <x:c r="K248" s="48" t="n">
        <x:v>40</x:v>
      </x:c>
      <x:c r="L248" s="48" t="n">
        <x:v>1000</x:v>
      </x:c>
      <x:c r="M248" s="48" t="n">
        <x:v>40</x:v>
      </x:c>
      <x:c r="N248" s="48" t="n">
        <x:v>0.55</x:v>
      </x:c>
      <x:c r="O248" s="48" t="n">
        <x:v>0.35</x:v>
      </x:c>
      <x:c r="P248" s="48" t="n">
        <x:v>0.36</x:v>
      </x:c>
      <x:c r="Q248" s="48" t="n">
        <x:v>0.27</x:v>
      </x:c>
      <x:c r="R248" s="31" t="str">
        <x:v>ok</x:v>
      </x:c>
      <x:c r="S248" s="51" t="n">
        <x:v>0.9791250228881836</x:v>
      </x:c>
      <x:c r="T248" s="31" t="str">
        <x:v>https://mp.weixin.qq.com/s?__biz=MzUxOTMxNjk0OQ==&amp;mid=2247503329&amp;idx=1&amp;sn=b49bc8494b5ad07598cdcd4a106a6fc3&amp;chksm=f9f9f95bce8e704df76e45687b29a72dbf1bc07172d7f8f43e1c2d0daddf5ae9e87a2366d56b#rd</x:v>
      </x:c>
    </x:row>
    <x:row r="249">
      <x:c r="A249" s="36" t="d">
        <x:v>2025-09-05T00:00:00.000Z</x:v>
      </x:c>
      <x:c r="B249" s="48" t="n">
        <x:v>142.07</x:v>
      </x:c>
      <x:c r="C249" s="48" t="n">
        <x:v>115.14</x:v>
      </x:c>
      <x:c r="D249" s="48" t="n">
        <x:v>160.33</x:v>
      </x:c>
      <x:c r="E249" s="48" t="n">
        <x:v>158.58</x:v>
      </x:c>
      <x:c r="F249" s="48" t="n">
        <x:v>502</x:v>
      </x:c>
      <x:c r="G249" s="48" t="n">
        <x:v>40</x:v>
      </x:c>
      <x:c r="H249" s="48" t="n">
        <x:v>502</x:v>
      </x:c>
      <x:c r="I249" s="48" t="n">
        <x:v>40</x:v>
      </x:c>
      <x:c r="J249" s="48" t="n">
        <x:v>528.61</x:v>
      </x:c>
      <x:c r="K249" s="48" t="n">
        <x:v>40</x:v>
      </x:c>
      <x:c r="L249" s="48" t="n">
        <x:v>501.68</x:v>
      </x:c>
      <x:c r="M249" s="48" t="n">
        <x:v>40</x:v>
      </x:c>
      <x:c r="N249" s="48" t="n">
        <x:v>0.75</x:v>
      </x:c>
      <x:c r="O249" s="48" t="n">
        <x:v>0.32</x:v>
      </x:c>
      <x:c r="P249" s="48" t="n">
        <x:v>0.68</x:v>
      </x:c>
      <x:c r="Q249" s="48" t="n">
        <x:v>0.26</x:v>
      </x:c>
      <x:c r="R249" s="31" t="str">
        <x:v>ok</x:v>
      </x:c>
      <x:c r="S249" s="51" t="n">
        <x:v>0.9999904632568359</x:v>
      </x:c>
      <x:c r="T249" s="31" t="str">
        <x:v>https://mp.weixin.qq.com/s?__biz=MzUxOTMxNjk0OQ==&amp;mid=2247503333&amp;idx=1&amp;sn=8a623dddb907598fcfd6f1e2ac72326c&amp;chksm=f9f9f95fce8e70498d02ca031c4ef12b0e66be9515979465c1e737d771f5fcba83d2372f1cfe#rd</x:v>
      </x:c>
    </x:row>
    <x:row r="250">
      <x:c r="A250" s="36" t="d">
        <x:v>2025-09-06T00:00:00.000Z</x:v>
      </x:c>
      <x:c r="B250" s="48" t="n">
        <x:v>103.63</x:v>
      </x:c>
      <x:c r="C250" s="48" t="n">
        <x:v>49.62</x:v>
      </x:c>
      <x:c r="D250" s="48" t="n">
        <x:v>77.63</x:v>
      </x:c>
      <x:c r="E250" s="48" t="n">
        <x:v>44.47</x:v>
      </x:c>
      <x:c r="F250" s="48" t="n">
        <x:v>730.59</x:v>
      </x:c>
      <x:c r="G250" s="48" t="n">
        <x:v>40</x:v>
      </x:c>
      <x:c r="H250" s="48" t="n">
        <x:v>833.25</x:v>
      </x:c>
      <x:c r="I250" s="48" t="n">
        <x:v>40</x:v>
      </x:c>
      <x:c r="J250" s="48" t="n">
        <x:v>1000</x:v>
      </x:c>
      <x:c r="K250" s="48" t="n">
        <x:v>40</x:v>
      </x:c>
      <x:c r="L250" s="48" t="n">
        <x:v>1000</x:v>
      </x:c>
      <x:c r="M250" s="48" t="n">
        <x:v>40</x:v>
      </x:c>
      <x:c r="N250" s="48" t="n">
        <x:v>0.35</x:v>
      </x:c>
      <x:c r="O250" s="48" t="n">
        <x:v>0.54</x:v>
      </x:c>
      <x:c r="P250" s="48" t="n">
        <x:v>0.35</x:v>
      </x:c>
      <x:c r="Q250" s="48" t="n">
        <x:v>0.52</x:v>
      </x:c>
      <x:c r="R250" s="31" t="str">
        <x:v>ok</x:v>
      </x:c>
      <x:c r="S250" s="51" t="n">
        <x:v>0.9999816417694092</x:v>
      </x:c>
      <x:c r="T250" s="31" t="str">
        <x:v>https://mp.weixin.qq.com/s?__biz=MzUxOTMxNjk0OQ==&amp;mid=2247503337&amp;idx=1&amp;sn=dd4edb5ee00a20a6475c6998f4d5b90a&amp;chksm=f9f9f953ce8e704550b6ac4bbf479983d112c0ac62ccaf22930e1039a6b9c207e50cd809e25d#rd</x:v>
      </x:c>
    </x:row>
    <x:row r="251">
      <x:c r="A251" s="36" t="d">
        <x:v>2025-09-07T00:00:00.000Z</x:v>
      </x:c>
      <x:c r="B251" s="48" t="n">
        <x:v>131.16</x:v>
      </x:c>
      <x:c r="C251" s="48" t="n">
        <x:v>62.99</x:v>
      </x:c>
      <x:c r="D251" s="48" t="n">
        <x:v>124.03</x:v>
      </x:c>
      <x:c r="E251" s="48" t="n">
        <x:v>92.08</x:v>
      </x:c>
      <x:c r="F251" s="48" t="n">
        <x:v>1000</x:v>
      </x:c>
      <x:c r="G251" s="48" t="n">
        <x:v>40</x:v>
      </x:c>
      <x:c r="H251" s="48" t="n">
        <x:v>1000</x:v>
      </x:c>
      <x:c r="I251" s="48" t="n">
        <x:v>40</x:v>
      </x:c>
      <x:c r="J251" s="48" t="n">
        <x:v>1000</x:v>
      </x:c>
      <x:c r="K251" s="48" t="n">
        <x:v>40</x:v>
      </x:c>
      <x:c r="L251" s="48" t="n">
        <x:v>1000</x:v>
      </x:c>
      <x:c r="M251" s="48" t="n">
        <x:v>40</x:v>
      </x:c>
      <x:c r="N251" s="48" t="n">
        <x:v>0.29</x:v>
      </x:c>
      <x:c r="O251" s="48" t="n">
        <x:v>0.62</x:v>
      </x:c>
      <x:c r="P251" s="48" t="n">
        <x:v>0.25</x:v>
      </x:c>
      <x:c r="Q251" s="48" t="n">
        <x:v>0.6</x:v>
      </x:c>
      <x:c r="R251" s="31" t="str">
        <x:v>ok</x:v>
      </x:c>
      <x:c r="S251" s="51" t="n">
        <x:v>0.9603583216667175</x:v>
      </x:c>
      <x:c r="T251" s="31" t="str">
        <x:v>https://mp.weixin.qq.com/s?__biz=MzUxOTMxNjk0OQ==&amp;mid=2247503373&amp;idx=3&amp;sn=687a5109a49359ae058680977b48fd92&amp;chksm=f9f9fab7ce8e73a171407796b9bbecaef57b36e3b674b43511349bc0b80a763e8ecfd726055a#rd</x:v>
      </x:c>
    </x:row>
    <x:row r="252">
      <x:c r="A252" s="36" t="d">
        <x:v>2025-09-08T00:00:00.000Z</x:v>
      </x:c>
      <x:c r="B252" s="48" t="n">
        <x:v>235.65</x:v>
      </x:c>
      <x:c r="C252" s="48" t="n">
        <x:v>65.02</x:v>
      </x:c>
      <x:c r="D252" s="48" t="n">
        <x:v>142.28</x:v>
      </x:c>
      <x:c r="E252" s="48" t="n">
        <x:v>71.47</x:v>
      </x:c>
      <x:c r="F252" s="48" t="n">
        <x:v>452</x:v>
      </x:c>
      <x:c r="G252" s="48" t="n">
        <x:v>40</x:v>
      </x:c>
      <x:c r="H252" s="48" t="n">
        <x:v>452</x:v>
      </x:c>
      <x:c r="I252" s="48" t="n">
        <x:v>40</x:v>
      </x:c>
      <x:c r="J252" s="48" t="n">
        <x:v>492.16</x:v>
      </x:c>
      <x:c r="K252" s="48" t="n">
        <x:v>40</x:v>
      </x:c>
      <x:c r="L252" s="48" t="n">
        <x:v>527.01</x:v>
      </x:c>
      <x:c r="M252" s="48" t="n">
        <x:v>40</x:v>
      </x:c>
      <x:c r="N252" s="48" t="n">
        <x:v>0.32</x:v>
      </x:c>
      <x:c r="O252" s="48" t="n">
        <x:v>0.61</x:v>
      </x:c>
      <x:c r="P252" s="48" t="n">
        <x:v>0.46</x:v>
      </x:c>
      <x:c r="Q252" s="48" t="n">
        <x:v>0.56</x:v>
      </x:c>
      <x:c r="R252" s="31" t="str">
        <x:v>ok</x:v>
      </x:c>
      <x:c r="S252" s="51" t="n">
        <x:v>0.9999521374702454</x:v>
      </x:c>
      <x:c r="T252" s="31" t="str">
        <x:v>https://mp.weixin.qq.com/s?__biz=MzUxOTMxNjk0OQ==&amp;mid=2247503382&amp;idx=2&amp;sn=8fda1e22506dc4ce1153580b1459515f&amp;chksm=f9f9faacce8e73baac3e6fc2a7d659af34afa83f5bdfde8e9e09032f237d03ca3587ab777887#rd</x:v>
      </x:c>
    </x:row>
    <x:row r="253">
      <x:c r="A253" s="36" t="d">
        <x:v>2025-09-09T00:00:00.000Z</x:v>
      </x:c>
      <x:c r="B253" s="48" t="n">
        <x:v>73.21</x:v>
      </x:c>
      <x:c r="C253" s="48" t="n">
        <x:v>46.73</x:v>
      </x:c>
      <x:c r="D253" s="48" t="n">
        <x:v>92.72</x:v>
      </x:c>
      <x:c r="E253" s="48" t="n">
        <x:v>50.83</x:v>
      </x:c>
      <x:c r="F253" s="48" t="n">
        <x:v>402</x:v>
      </x:c>
      <x:c r="G253" s="48" t="n">
        <x:v>40</x:v>
      </x:c>
      <x:c r="H253" s="48" t="n">
        <x:v>402</x:v>
      </x:c>
      <x:c r="I253" s="48" t="n">
        <x:v>40</x:v>
      </x:c>
      <x:c r="J253" s="48" t="n">
        <x:v>1000</x:v>
      </x:c>
      <x:c r="K253" s="48" t="n">
        <x:v>40</x:v>
      </x:c>
      <x:c r="L253" s="48" t="n">
        <x:v>1000</x:v>
      </x:c>
      <x:c r="M253" s="48" t="n">
        <x:v>40</x:v>
      </x:c>
      <x:c r="N253" s="48" t="n">
        <x:v>0.77</x:v>
      </x:c>
      <x:c r="O253" s="48" t="n">
        <x:v>0.56</x:v>
      </x:c>
      <x:c r="P253" s="48" t="n">
        <x:v>0.78</x:v>
      </x:c>
      <x:c r="Q253" s="48" t="n">
        <x:v>0.53</x:v>
      </x:c>
      <x:c r="R253" s="31" t="str">
        <x:v>ok</x:v>
      </x:c>
      <x:c r="S253" s="51" t="n">
        <x:v>0.9999811053276062</x:v>
      </x:c>
      <x:c r="T253" s="31" t="str">
        <x:v>https://mp.weixin.qq.com/s?__biz=MzUxOTMxNjk0OQ==&amp;mid=2247503386&amp;idx=1&amp;sn=c63ebf8d791bb83123cd835b161cbd0b&amp;chksm=f9f9faa0ce8e73b662ab82536ab68d91ae76670c751237fc7406286d3f74202fdd732fbf00a8#rd</x:v>
      </x:c>
    </x:row>
    <x:row r="254">
      <x:c r="A254" s="36" t="d">
        <x:v>2025-09-10T00:00:00.000Z</x:v>
      </x:c>
      <x:c r="B254" s="48" t="n">
        <x:v>88.7</x:v>
      </x:c>
      <x:c r="C254" s="48" t="n">
        <x:v>48.59</x:v>
      </x:c>
      <x:c r="D254" s="48" t="n">
        <x:v>117.68</x:v>
      </x:c>
      <x:c r="E254" s="48" t="n">
        <x:v>216.34</x:v>
      </x:c>
      <x:c r="F254" s="48" t="n">
        <x:v>1000</x:v>
      </x:c>
      <x:c r="G254" s="48" t="n">
        <x:v>40</x:v>
      </x:c>
      <x:c r="H254" s="48" t="n">
        <x:v>1000</x:v>
      </x:c>
      <x:c r="I254" s="48" t="n">
        <x:v>40</x:v>
      </x:c>
      <x:c r="J254" s="48" t="n">
        <x:v>1000</x:v>
      </x:c>
      <x:c r="K254" s="48" t="n">
        <x:v>40</x:v>
      </x:c>
      <x:c r="L254" s="48" t="n">
        <x:v>1000</x:v>
      </x:c>
      <x:c r="M254" s="48" t="n">
        <x:v>40</x:v>
      </x:c>
      <x:c r="N254" s="48" t="n">
        <x:v>0.81</x:v>
      </x:c>
      <x:c r="O254" s="48" t="n">
        <x:v>0.53</x:v>
      </x:c>
      <x:c r="P254" s="48" t="n">
        <x:v>0.72</x:v>
      </x:c>
      <x:c r="Q254" s="48" t="n">
        <x:v>0.44</x:v>
      </x:c>
      <x:c r="R254" s="31" t="str">
        <x:v>ok</x:v>
      </x:c>
      <x:c r="S254" s="51" t="n">
        <x:v>0.9999861717224121</x:v>
      </x:c>
      <x:c r="T254" s="31" t="str">
        <x:v>https://mp.weixin.qq.com/s?__biz=MzUxOTMxNjk0OQ==&amp;mid=2247503390&amp;idx=1&amp;sn=d0051a5530c3408c3fc7a48f808de2d5&amp;chksm=f9f9faa4ce8e73b22364af5b4a57f7c7a6b8f638c5cce71f4d0db5a540fd5e320ca19bcff2aa#rd</x:v>
      </x:c>
    </x:row>
    <x:row r="255">
      <x:c r="A255" s="36" t="d">
        <x:v>2025-09-11T00:00:00.000Z</x:v>
      </x:c>
      <x:c r="B255" s="48" t="n">
        <x:v>278.79</x:v>
      </x:c>
      <x:c r="C255" s="48" t="n">
        <x:v>359.54</x:v>
      </x:c>
      <x:c r="D255" s="48" t="n">
        <x:v>319.02</x:v>
      </x:c>
      <x:c r="E255" s="48" t="n">
        <x:v>370.4</x:v>
      </x:c>
      <x:c r="F255" s="48" t="n">
        <x:v>1000</x:v>
      </x:c>
      <x:c r="G255" s="48" t="n">
        <x:v>40</x:v>
      </x:c>
      <x:c r="H255" s="48" t="n">
        <x:v>1000</x:v>
      </x:c>
      <x:c r="I255" s="48" t="n">
        <x:v>40</x:v>
      </x:c>
      <x:c r="J255" s="48" t="n">
        <x:v>1000</x:v>
      </x:c>
      <x:c r="K255" s="48" t="n">
        <x:v>40</x:v>
      </x:c>
      <x:c r="L255" s="48" t="n">
        <x:v>1000</x:v>
      </x:c>
      <x:c r="M255" s="48" t="n">
        <x:v>40</x:v>
      </x:c>
      <x:c r="N255" s="48" t="n">
        <x:v>0.62</x:v>
      </x:c>
      <x:c r="O255" s="48" t="n">
        <x:v>0.31</x:v>
      </x:c>
      <x:c r="P255" s="48" t="n">
        <x:v>0.54</x:v>
      </x:c>
      <x:c r="Q255" s="48" t="n">
        <x:v>0.32</x:v>
      </x:c>
      <x:c r="R255" s="31" t="str">
        <x:v>ok</x:v>
      </x:c>
      <x:c r="S255" s="51" t="n">
        <x:v>0.9998894333839417</x:v>
      </x:c>
      <x:c r="T255" s="31" t="str">
        <x:v>https://mp.weixin.qq.com/s?__biz=MzUxOTMxNjk0OQ==&amp;mid=2247503404&amp;idx=1&amp;sn=6a8996300623937f7c1ca39f3fad1129&amp;chksm=f9f9fa96ce8e738004451f69936108f52e424cade2ac175777b495c503c897da3f82cbe5e45d#rd</x:v>
      </x:c>
    </x:row>
    <x:row r="256">
      <x:c r="A256" s="36" t="d">
        <x:v>2025-09-12T00:00:00.000Z</x:v>
      </x:c>
      <x:c r="B256" s="48" t="n">
        <x:v>124.54</x:v>
      </x:c>
      <x:c r="C256" s="48" t="n">
        <x:v>50.5</x:v>
      </x:c>
      <x:c r="D256" s="48" t="n">
        <x:v>114.49</x:v>
      </x:c>
      <x:c r="E256" s="48" t="n">
        <x:v>50.98</x:v>
      </x:c>
      <x:c r="F256" s="48" t="n">
        <x:v>328</x:v>
      </x:c>
      <x:c r="G256" s="48" t="n">
        <x:v>40</x:v>
      </x:c>
      <x:c r="H256" s="48" t="n">
        <x:v>328</x:v>
      </x:c>
      <x:c r="I256" s="48" t="n">
        <x:v>40</x:v>
      </x:c>
      <x:c r="J256" s="48" t="n">
        <x:v>1000</x:v>
      </x:c>
      <x:c r="K256" s="48" t="n">
        <x:v>40</x:v>
      </x:c>
      <x:c r="L256" s="48" t="n">
        <x:v>1000</x:v>
      </x:c>
      <x:c r="M256" s="48" t="n">
        <x:v>40</x:v>
      </x:c>
      <x:c r="N256" s="48" t="n">
        <x:v>0.41</x:v>
      </x:c>
      <x:c r="O256" s="48" t="n">
        <x:v>0.53</x:v>
      </x:c>
      <x:c r="P256" s="48" t="n">
        <x:v>0.27</x:v>
      </x:c>
      <x:c r="Q256" s="48" t="n">
        <x:v>0.52</x:v>
      </x:c>
      <x:c r="R256" s="31" t="str">
        <x:v>ok</x:v>
      </x:c>
      <x:c r="S256" s="51" t="n">
        <x:v>0.9998409152030945</x:v>
      </x:c>
      <x:c r="T256" s="31" t="str">
        <x:v>https://mp.weixin.qq.com/s?__biz=MzUxOTMxNjk0OQ==&amp;mid=2247503408&amp;idx=1&amp;sn=0f0078be860ba8386e7c3997a01cd5ef&amp;chksm=f9f9fa8ace8e739ce7b6cef743897a92cf7985351e9a196cb7c7ebf4f077513d1676accfbdc4#rd</x:v>
      </x:c>
    </x:row>
    <x:row r="257">
      <x:c r="A257" s="36" t="d">
        <x:v>2025-09-13T00:00:00.000Z</x:v>
      </x:c>
      <x:c r="B257" s="48" t="n">
        <x:v>73.15</x:v>
      </x:c>
      <x:c r="C257" s="48" t="n">
        <x:v>44.42</x:v>
      </x:c>
      <x:c r="D257" s="48" t="n">
        <x:v>68.6</x:v>
      </x:c>
      <x:c r="E257" s="48" t="n">
        <x:v>65.2</x:v>
      </x:c>
      <x:c r="F257" s="48" t="n">
        <x:v>339.26</x:v>
      </x:c>
      <x:c r="G257" s="48" t="n">
        <x:v>40</x:v>
      </x:c>
      <x:c r="H257" s="48" t="n">
        <x:v>378.2</x:v>
      </x:c>
      <x:c r="I257" s="48" t="n">
        <x:v>40</x:v>
      </x:c>
      <x:c r="J257" s="48" t="n">
        <x:v>672.07</x:v>
      </x:c>
      <x:c r="K257" s="48" t="n">
        <x:v>40</x:v>
      </x:c>
      <x:c r="L257" s="48" t="n">
        <x:v>1000</x:v>
      </x:c>
      <x:c r="M257" s="48" t="n">
        <x:v>40</x:v>
      </x:c>
      <x:c r="N257" s="48" t="n">
        <x:v>0.5</x:v>
      </x:c>
      <x:c r="O257" s="48" t="n">
        <x:v>0.52</x:v>
      </x:c>
      <x:c r="P257" s="48" t="n">
        <x:v>0.43</x:v>
      </x:c>
      <x:c r="Q257" s="48" t="n">
        <x:v>0.53</x:v>
      </x:c>
      <x:c r="R257" s="31" t="str">
        <x:v>ok</x:v>
      </x:c>
      <x:c r="S257" s="51" t="n">
        <x:v>0.9999818801879883</x:v>
      </x:c>
      <x:c r="T257" s="31" t="str">
        <x:v>https://mp.weixin.qq.com/s?__biz=MzUxOTMxNjk0OQ==&amp;mid=2247503428&amp;idx=1&amp;sn=4d795197452e47fef108a44be008f8f3&amp;chksm=f9f9fafece8e73e8d9526fc377ce987420371bce3f2b947c343a99c0d44f4a70f605515bb084#rd</x:v>
      </x:c>
    </x:row>
    <x:row r="258">
      <x:c r="A258" s="36" t="d">
        <x:v>2025-09-14T00:00:00.000Z</x:v>
      </x:c>
      <x:c r="B258" s="48" t="n">
        <x:v>113.79</x:v>
      </x:c>
      <x:c r="C258" s="48" t="n">
        <x:v>48.58</x:v>
      </x:c>
      <x:c r="D258" s="48" t="n">
        <x:v>201.73</x:v>
      </x:c>
      <x:c r="E258" s="48" t="n">
        <x:v>47.51</x:v>
      </x:c>
      <x:c r="F258" s="48" t="n">
        <x:v>1000</x:v>
      </x:c>
      <x:c r="G258" s="48" t="n">
        <x:v>40</x:v>
      </x:c>
      <x:c r="H258" s="48" t="n">
        <x:v>1000</x:v>
      </x:c>
      <x:c r="I258" s="48" t="n">
        <x:v>40</x:v>
      </x:c>
      <x:c r="J258" s="48" t="n">
        <x:v>1000</x:v>
      </x:c>
      <x:c r="K258" s="48" t="n">
        <x:v>40</x:v>
      </x:c>
      <x:c r="L258" s="48" t="n">
        <x:v>1000</x:v>
      </x:c>
      <x:c r="M258" s="48" t="n">
        <x:v>40</x:v>
      </x:c>
      <x:c r="N258" s="48" t="n">
        <x:v>0.45</x:v>
      </x:c>
      <x:c r="O258" s="48" t="n">
        <x:v>0.54</x:v>
      </x:c>
      <x:c r="P258" s="48" t="n">
        <x:v>0.4</x:v>
      </x:c>
      <x:c r="Q258" s="48" t="n">
        <x:v>0.61</x:v>
      </x:c>
      <x:c r="R258" s="31" t="str">
        <x:v>ok</x:v>
      </x:c>
      <x:c r="S258" s="51" t="n">
        <x:v>0.9999758005142212</x:v>
      </x:c>
      <x:c r="T258" s="31" t="str">
        <x:v>https://mp.weixin.qq.com/s?__biz=MzUxOTMxNjk0OQ==&amp;mid=2247503432&amp;idx=1&amp;sn=793649f7559399642c5eb85955faee5c&amp;chksm=f9f9faf2ce8e73e4108a340691505109d329efceda833d4c61619a279fd99aa4ea5c348ba943#rd</x:v>
      </x:c>
    </x:row>
    <x:row r="259">
      <x:c r="A259" s="36" t="d">
        <x:v>2025-09-15T00:00:00.000Z</x:v>
      </x:c>
      <x:c r="B259" s="48" t="n">
        <x:v>132.23</x:v>
      </x:c>
      <x:c r="C259" s="48" t="n">
        <x:v>64.74</x:v>
      </x:c>
      <x:c r="D259" s="48" t="n">
        <x:v>100.65</x:v>
      </x:c>
      <x:c r="E259" s="48" t="n">
        <x:v>136.52</x:v>
      </x:c>
      <x:c r="F259" s="48" t="n">
        <x:v>1000</x:v>
      </x:c>
      <x:c r="G259" s="48" t="n">
        <x:v>40</x:v>
      </x:c>
      <x:c r="H259" s="48" t="n">
        <x:v>1000</x:v>
      </x:c>
      <x:c r="I259" s="48" t="n">
        <x:v>40</x:v>
      </x:c>
      <x:c r="J259" s="48" t="n">
        <x:v>1000</x:v>
      </x:c>
      <x:c r="K259" s="48" t="n">
        <x:v>40</x:v>
      </x:c>
      <x:c r="L259" s="48" t="n">
        <x:v>1000</x:v>
      </x:c>
      <x:c r="M259" s="48" t="n">
        <x:v>40</x:v>
      </x:c>
      <x:c r="N259" s="48" t="n">
        <x:v>0.59</x:v>
      </x:c>
      <x:c r="O259" s="48" t="n">
        <x:v>0.55</x:v>
      </x:c>
      <x:c r="P259" s="48" t="n">
        <x:v>0.59</x:v>
      </x:c>
      <x:c r="Q259" s="48" t="n">
        <x:v>0.51</x:v>
      </x:c>
      <x:c r="R259" s="31" t="str">
        <x:v>ok</x:v>
      </x:c>
      <x:c r="S259" s="51" t="n">
        <x:v>0.9213817715644836</x:v>
      </x:c>
      <x:c r="T259" s="31" t="str">
        <x:v>https://mp.weixin.qq.com/s?__biz=MzUxOTMxNjk0OQ==&amp;mid=2247503436&amp;idx=1&amp;sn=edfa1c344d380126c241022f48000885&amp;chksm=f9f9faf6ce8e73e060e098932de8185a348246e1e6583fc55849aef20f004238e229e4cb37ef#rd</x:v>
      </x:c>
    </x:row>
    <x:row r="260">
      <x:c r="A260" s="36" t="d">
        <x:v>2025-09-16T00:00:00.000Z</x:v>
      </x:c>
      <x:c r="B260" s="48" t="n">
        <x:v>88.87</x:v>
      </x:c>
      <x:c r="C260" s="48" t="n">
        <x:v>119.46</x:v>
      </x:c>
      <x:c r="D260" s="48" t="n">
        <x:v>119.32</x:v>
      </x:c>
      <x:c r="E260" s="48" t="n">
        <x:v>190.61</x:v>
      </x:c>
      <x:c r="F260" s="48" t="n">
        <x:v>450</x:v>
      </x:c>
      <x:c r="G260" s="48" t="n">
        <x:v>40</x:v>
      </x:c>
      <x:c r="H260" s="48" t="n">
        <x:v>450</x:v>
      </x:c>
      <x:c r="I260" s="48" t="n">
        <x:v>40</x:v>
      </x:c>
      <x:c r="J260" s="48" t="n">
        <x:v>1000</x:v>
      </x:c>
      <x:c r="K260" s="48" t="n">
        <x:v>40</x:v>
      </x:c>
      <x:c r="L260" s="48" t="n">
        <x:v>1000</x:v>
      </x:c>
      <x:c r="M260" s="48" t="n">
        <x:v>40</x:v>
      </x:c>
      <x:c r="N260" s="48" t="n">
        <x:v>0.64</x:v>
      </x:c>
      <x:c r="O260" s="48" t="n">
        <x:v>0.34</x:v>
      </x:c>
      <x:c r="P260" s="48" t="n">
        <x:v>0.54</x:v>
      </x:c>
      <x:c r="Q260" s="48" t="n">
        <x:v>0.3</x:v>
      </x:c>
      <x:c r="R260" s="31" t="str">
        <x:v>ok</x:v>
      </x:c>
      <x:c r="S260" s="51" t="n">
        <x:v>0.9999845623970032</x:v>
      </x:c>
      <x:c r="T260" s="31" t="str">
        <x:v>https://mp.weixin.qq.com/s?__biz=MzUxOTMxNjk0OQ==&amp;mid=2247503443&amp;idx=1&amp;sn=fe5d173a603f22ced283ca22fc9dda54&amp;chksm=f9f9fae9ce8e73ff91d848640cb6049826fe9176c8b5c819474290cdc4640b316241ad135151#rd</x:v>
      </x:c>
    </x:row>
    <x:row r="261">
      <x:c r="A261" s="36" t="d">
        <x:v>2025-09-17T00:00:00.000Z</x:v>
      </x:c>
      <x:c r="B261" s="48" t="n">
        <x:v>91.73</x:v>
      </x:c>
      <x:c r="C261" s="48" t="n">
        <x:v>66.75</x:v>
      </x:c>
      <x:c r="D261" s="48" t="n">
        <x:v>114.7</x:v>
      </x:c>
      <x:c r="E261" s="48" t="n">
        <x:v>83.71</x:v>
      </x:c>
      <x:c r="F261" s="48" t="n">
        <x:v>500</x:v>
      </x:c>
      <x:c r="G261" s="48" t="n">
        <x:v>40</x:v>
      </x:c>
      <x:c r="H261" s="48" t="n">
        <x:v>500</x:v>
      </x:c>
      <x:c r="I261" s="48" t="n">
        <x:v>40</x:v>
      </x:c>
      <x:c r="J261" s="48" t="n">
        <x:v>1000</x:v>
      </x:c>
      <x:c r="K261" s="48" t="n">
        <x:v>40</x:v>
      </x:c>
      <x:c r="L261" s="48" t="n">
        <x:v>1000</x:v>
      </x:c>
      <x:c r="M261" s="48" t="n">
        <x:v>40</x:v>
      </x:c>
      <x:c r="N261" s="48" t="n">
        <x:v>0.36</x:v>
      </x:c>
      <x:c r="O261" s="48" t="n">
        <x:v>0.41</x:v>
      </x:c>
      <x:c r="P261" s="48" t="n">
        <x:v>0.28</x:v>
      </x:c>
      <x:c r="Q261" s="48" t="n">
        <x:v>0.37</x:v>
      </x:c>
      <x:c r="R261" s="31" t="str">
        <x:v>ok</x:v>
      </x:c>
      <x:c r="S261" s="51" t="n">
        <x:v>0.9999801516532898</x:v>
      </x:c>
      <x:c r="T261" s="31" t="str">
        <x:v>https://mp.weixin.qq.com/s?__biz=MzUxOTMxNjk0OQ==&amp;mid=2247503535&amp;idx=1&amp;sn=663aabcebcae40a1a430f17b0d9bf0e6&amp;chksm=f9f9fa15ce8e7303aece648953b10b222dd94fc79b130ff298a8053223794f0f849941bb3069#rd</x:v>
      </x:c>
    </x:row>
    <x:row r="262">
      <x:c r="A262" s="36" t="d">
        <x:v>2025-09-18T00:00:00.000Z</x:v>
      </x:c>
      <x:c r="B262" s="48" t="n">
        <x:v>120.83</x:v>
      </x:c>
      <x:c r="C262" s="48" t="n">
        <x:v>112.45</x:v>
      </x:c>
      <x:c r="D262" s="48" t="n">
        <x:v>183.91</x:v>
      </x:c>
      <x:c r="E262" s="48" t="n">
        <x:v>179.86</x:v>
      </x:c>
      <x:c r="F262" s="48" t="n">
        <x:v>425</x:v>
      </x:c>
      <x:c r="G262" s="48" t="n">
        <x:v>40</x:v>
      </x:c>
      <x:c r="H262" s="48" t="n">
        <x:v>425</x:v>
      </x:c>
      <x:c r="I262" s="48" t="n">
        <x:v>40</x:v>
      </x:c>
      <x:c r="J262" s="48" t="n">
        <x:v>523</x:v>
      </x:c>
      <x:c r="K262" s="48" t="n">
        <x:v>40</x:v>
      </x:c>
      <x:c r="L262" s="48" t="n">
        <x:v>523</x:v>
      </x:c>
      <x:c r="M262" s="48" t="n">
        <x:v>40</x:v>
      </x:c>
      <x:c r="N262" s="48" t="n">
        <x:v>0.44</x:v>
      </x:c>
      <x:c r="O262" s="48" t="n">
        <x:v>0.24</x:v>
      </x:c>
      <x:c r="P262" s="48" t="n">
        <x:v>0.37</x:v>
      </x:c>
      <x:c r="Q262" s="48" t="n">
        <x:v>0.22</x:v>
      </x:c>
      <x:c r="R262" s="31" t="str">
        <x:v>ok</x:v>
      </x:c>
      <x:c r="S262" s="51" t="n">
        <x:v>0.9999884963035583</x:v>
      </x:c>
      <x:c r="T262" s="31" t="str">
        <x:v>https://mp.weixin.qq.com/s?__biz=MzUxOTMxNjk0OQ==&amp;mid=2247503546&amp;idx=1&amp;sn=c2294e2ccd2b820d9dcb062c3e7e84bc&amp;chksm=f9f9fa00ce8e7316206455a8f7749ffc995a10c7f994b8a669e62d2c384d21f20f08936f41e6#rd</x:v>
      </x:c>
    </x:row>
    <x:row r="263">
      <x:c r="A263" s="36" t="d">
        <x:v>2025-09-19T00:00:00.000Z</x:v>
      </x:c>
      <x:c r="B263" s="48" t="n">
        <x:v>105.65</x:v>
      </x:c>
      <x:c r="C263" s="48" t="n">
        <x:v>56.82</x:v>
      </x:c>
      <x:c r="D263" s="48" t="n">
        <x:v>140.76</x:v>
      </x:c>
      <x:c r="E263" s="48" t="n">
        <x:v>66.81</x:v>
      </x:c>
      <x:c r="F263" s="48" t="n">
        <x:v>1000</x:v>
      </x:c>
      <x:c r="G263" s="48" t="n">
        <x:v>40</x:v>
      </x:c>
      <x:c r="H263" s="48" t="n">
        <x:v>1000</x:v>
      </x:c>
      <x:c r="I263" s="48" t="n">
        <x:v>40</x:v>
      </x:c>
      <x:c r="J263" s="48" t="n">
        <x:v>1000</x:v>
      </x:c>
      <x:c r="K263" s="48" t="n">
        <x:v>40</x:v>
      </x:c>
      <x:c r="L263" s="48" t="n">
        <x:v>1000</x:v>
      </x:c>
      <x:c r="M263" s="48" t="n">
        <x:v>40</x:v>
      </x:c>
      <x:c r="N263" s="48" t="n">
        <x:v>0.36</x:v>
      </x:c>
      <x:c r="O263" s="48" t="n">
        <x:v>0.46</x:v>
      </x:c>
      <x:c r="P263" s="48" t="n">
        <x:v>0.18</x:v>
      </x:c>
      <x:c r="Q263" s="48" t="n">
        <x:v>0.42</x:v>
      </x:c>
      <x:c r="R263" s="31" t="str">
        <x:v>ok</x:v>
      </x:c>
      <x:c r="S263" s="51" t="n">
        <x:v>0.9372960329055786</x:v>
      </x:c>
      <x:c r="T263" s="31" t="str">
        <x:v>https://mp.weixin.qq.com/s?__biz=MzUxOTMxNjk0OQ==&amp;mid=2247503553&amp;idx=1&amp;sn=b4bfba04f20d3031d822cb74a94d7613&amp;chksm=f9f9fa7bce8e736d269a402550316dcd68ec158d89dee6d60b7dd5b72ae511ddabaee6c0c297#rd</x:v>
      </x:c>
    </x:row>
    <x:row r="264">
      <x:c r="A264" s="36" t="d">
        <x:v>2025-09-20T00:00:00.000Z</x:v>
      </x:c>
      <x:c r="B264" s="48" t="n">
        <x:v>65.99</x:v>
      </x:c>
      <x:c r="C264" s="48" t="n">
        <x:v>44.43</x:v>
      </x:c>
      <x:c r="D264" s="48" t="n">
        <x:v>67.61</x:v>
      </x:c>
      <x:c r="E264" s="48" t="n">
        <x:v>44.58</x:v>
      </x:c>
      <x:c r="F264" s="48" t="n">
        <x:v>307</x:v>
      </x:c>
      <x:c r="G264" s="48" t="n">
        <x:v>40</x:v>
      </x:c>
      <x:c r="H264" s="48" t="n">
        <x:v>307</x:v>
      </x:c>
      <x:c r="I264" s="48" t="n">
        <x:v>40</x:v>
      </x:c>
      <x:c r="J264" s="48" t="n">
        <x:v>854.59</x:v>
      </x:c>
      <x:c r="K264" s="48" t="n">
        <x:v>40</x:v>
      </x:c>
      <x:c r="L264" s="48" t="n">
        <x:v>959.56</x:v>
      </x:c>
      <x:c r="M264" s="48" t="n">
        <x:v>40</x:v>
      </x:c>
      <x:c r="N264" s="48" t="n">
        <x:v>0.56</x:v>
      </x:c>
      <x:c r="O264" s="48" t="n">
        <x:v>0.4</x:v>
      </x:c>
      <x:c r="P264" s="48" t="n">
        <x:v>0.52</x:v>
      </x:c>
      <x:c r="Q264" s="48" t="n">
        <x:v>0.37</x:v>
      </x:c>
      <x:c r="R264" s="31" t="str">
        <x:v>ok</x:v>
      </x:c>
      <x:c r="S264" s="51" t="n">
        <x:v>0.9998654127120972</x:v>
      </x:c>
      <x:c r="T264" s="31" t="str">
        <x:v>https://mp.weixin.qq.com/s?__biz=MzUxOTMxNjk0OQ==&amp;mid=2247503557&amp;idx=1&amp;sn=f37f6d1822237352ff6c2e62441a6a3f&amp;chksm=f9f9fa7fce8e7369ede30606c115e9f1aaa04a42b19f3859d4f33ce3689e7dc4add4385e14d9#rd</x:v>
      </x:c>
    </x:row>
    <x:row r="265">
      <x:c r="A265" s="36" t="d">
        <x:v>2025-09-21T00:00:00.000Z</x:v>
      </x:c>
      <x:c r="B265" s="48" t="n">
        <x:v>61.71</x:v>
      </x:c>
      <x:c r="C265" s="48" t="n">
        <x:v>68.04</x:v>
      </x:c>
      <x:c r="D265" s="48" t="n">
        <x:v>166.48</x:v>
      </x:c>
      <x:c r="E265" s="48" t="n">
        <x:v>312.16</x:v>
      </x:c>
      <x:c r="F265" s="48" t="n">
        <x:v>220</x:v>
      </x:c>
      <x:c r="G265" s="48" t="n">
        <x:v>40</x:v>
      </x:c>
      <x:c r="H265" s="48" t="n">
        <x:v>220</x:v>
      </x:c>
      <x:c r="I265" s="48" t="n">
        <x:v>40</x:v>
      </x:c>
      <x:c r="J265" s="48" t="n">
        <x:v>1000</x:v>
      </x:c>
      <x:c r="K265" s="48" t="n">
        <x:v>40</x:v>
      </x:c>
      <x:c r="L265" s="48" t="n">
        <x:v>1000</x:v>
      </x:c>
      <x:c r="M265" s="48" t="n">
        <x:v>40</x:v>
      </x:c>
      <x:c r="N265" s="48" t="n">
        <x:v>0.78</x:v>
      </x:c>
      <x:c r="O265" s="48" t="n">
        <x:v>0.16</x:v>
      </x:c>
      <x:c r="P265" s="48" t="n">
        <x:v>0.79</x:v>
      </x:c>
      <x:c r="Q265" s="48" t="n">
        <x:v>0.13</x:v>
      </x:c>
      <x:c r="R265" s="31" t="str">
        <x:v>ok</x:v>
      </x:c>
      <x:c r="S265" s="51" t="n">
        <x:v>0.9995360374450684</x:v>
      </x:c>
      <x:c r="T265" s="31" t="str">
        <x:v>https://mp.weixin.qq.com/s?__biz=MzUxOTMxNjk0OQ==&amp;mid=2247503561&amp;idx=1&amp;sn=ea8bf998bbe42180aa029b2829a4da30&amp;chksm=f9f9fa73ce8e7365b1eee432ad7613875a7aaf6896fbe52b96f80948cead9bcf487f59bd8526#rd</x:v>
      </x:c>
    </x:row>
    <x:row r="266">
      <x:c r="A266" s="36" t="d">
        <x:v>2025-09-22T00:00:00.000Z</x:v>
      </x:c>
      <x:c r="B266" s="48" t="n">
        <x:v>114.95</x:v>
      </x:c>
      <x:c r="C266" s="48" t="n">
        <x:v>134.22</x:v>
      </x:c>
      <x:c r="D266" s="48" t="n">
        <x:v>215.07</x:v>
      </x:c>
      <x:c r="E266" s="48" t="n">
        <x:v>403.35</x:v>
      </x:c>
      <x:c r="F266" s="48" t="n">
        <x:v>302</x:v>
      </x:c>
      <x:c r="G266" s="48" t="n">
        <x:v>40</x:v>
      </x:c>
      <x:c r="H266" s="48" t="n">
        <x:v>302</x:v>
      </x:c>
      <x:c r="I266" s="48" t="n">
        <x:v>40</x:v>
      </x:c>
      <x:c r="J266" s="48" t="n">
        <x:v>500</x:v>
      </x:c>
      <x:c r="K266" s="48" t="n">
        <x:v>40</x:v>
      </x:c>
      <x:c r="L266" s="48" t="n">
        <x:v>500</x:v>
      </x:c>
      <x:c r="M266" s="48" t="n">
        <x:v>40</x:v>
      </x:c>
      <x:c r="N266" s="48" t="n">
        <x:v>0.51</x:v>
      </x:c>
      <x:c r="O266" s="48" t="n">
        <x:v>0.3</x:v>
      </x:c>
      <x:c r="P266" s="48" t="n">
        <x:v>0.26</x:v>
      </x:c>
      <x:c r="Q266" s="48" t="n">
        <x:v>0.22</x:v>
      </x:c>
      <x:c r="R266" s="31" t="str">
        <x:v>ok</x:v>
      </x:c>
      <x:c r="S266" s="51" t="n">
        <x:v>0.9924221038818359</x:v>
      </x:c>
      <x:c r="T266" s="31" t="str">
        <x:v>https://mp.weixin.qq.com/s?__biz=MzUxOTMxNjk0OQ==&amp;mid=2247503579&amp;idx=3&amp;sn=3fa6e9130f2cf916b5b8115c5029159f&amp;chksm=f9f9fa61ce8e737797ed8ab547c3e54ea9751876d202333dc0934ac6cc99434aa1c4d0b68b74#rd</x:v>
      </x:c>
    </x:row>
    <x:row r="267">
      <x:c r="A267" s="36" t="d">
        <x:v>2025-09-23T00:00:00.000Z</x:v>
      </x:c>
      <x:c r="B267" s="48" t="n">
        <x:v>43.76</x:v>
      </x:c>
      <x:c r="C267" s="48" t="n">
        <x:v>40.08</x:v>
      </x:c>
      <x:c r="D267" s="48" t="n">
        <x:v>55.01</x:v>
      </x:c>
      <x:c r="E267" s="48" t="n">
        <x:v>45.48</x:v>
      </x:c>
      <x:c r="F267" s="48" t="n">
        <x:v>153</x:v>
      </x:c>
      <x:c r="G267" s="48" t="n">
        <x:v>40</x:v>
      </x:c>
      <x:c r="H267" s="48" t="n">
        <x:v>153</x:v>
      </x:c>
      <x:c r="I267" s="48" t="n">
        <x:v>40</x:v>
      </x:c>
      <x:c r="J267" s="48" t="n">
        <x:v>251</x:v>
      </x:c>
      <x:c r="K267" s="48" t="n">
        <x:v>40</x:v>
      </x:c>
      <x:c r="L267" s="48" t="n">
        <x:v>251</x:v>
      </x:c>
      <x:c r="M267" s="48" t="n">
        <x:v>40</x:v>
      </x:c>
      <x:c r="N267" s="48" t="n">
        <x:v>0.37</x:v>
      </x:c>
      <x:c r="O267" s="48" t="n">
        <x:v>0.44</x:v>
      </x:c>
      <x:c r="P267" s="48" t="n">
        <x:v>0.22</x:v>
      </x:c>
      <x:c r="Q267" s="48" t="n">
        <x:v>0.41</x:v>
      </x:c>
      <x:c r="R267" s="31" t="str">
        <x:v>ok</x:v>
      </x:c>
      <x:c r="S267" s="51" t="n">
        <x:v>0.9778311848640442</x:v>
      </x:c>
      <x:c r="T267" s="31" t="str">
        <x:v>https://mp.weixin.qq.com/s?__biz=MzUxOTMxNjk0OQ==&amp;mid=2247503631&amp;idx=1&amp;sn=b8775b23147e24ad285640aed98d96e8&amp;chksm=f9f9fbb5ce8e72a361236a3b1e677e5ec92abf3d2be1145631b8d1094a827ce1d6fc0a59fa10#rd</x:v>
      </x:c>
    </x:row>
    <x:row r="268">
      <x:c r="A268" s="36" t="d">
        <x:v>2025-09-24T00:00:00.000Z</x:v>
      </x:c>
      <x:c r="B268" s="48" t="n">
        <x:v>51.82</x:v>
      </x:c>
      <x:c r="C268" s="48" t="n">
        <x:v>40.41</x:v>
      </x:c>
      <x:c r="D268" s="48" t="n">
        <x:v>55.35</x:v>
      </x:c>
      <x:c r="E268" s="48" t="n">
        <x:v>40.8</x:v>
      </x:c>
      <x:c r="F268" s="48" t="n">
        <x:v>360</x:v>
      </x:c>
      <x:c r="G268" s="48" t="n">
        <x:v>40</x:v>
      </x:c>
      <x:c r="H268" s="48" t="n">
        <x:v>360</x:v>
      </x:c>
      <x:c r="I268" s="48" t="n">
        <x:v>40</x:v>
      </x:c>
      <x:c r="J268" s="48" t="n">
        <x:v>370</x:v>
      </x:c>
      <x:c r="K268" s="48" t="n">
        <x:v>40</x:v>
      </x:c>
      <x:c r="L268" s="48" t="n">
        <x:v>370</x:v>
      </x:c>
      <x:c r="M268" s="48" t="n">
        <x:v>40</x:v>
      </x:c>
      <x:c r="N268" s="48" t="n">
        <x:v>0.41</x:v>
      </x:c>
      <x:c r="O268" s="48" t="n">
        <x:v>0.49</x:v>
      </x:c>
      <x:c r="P268" s="48" t="n">
        <x:v>0.3</x:v>
      </x:c>
      <x:c r="Q268" s="48" t="n">
        <x:v>0.53</x:v>
      </x:c>
      <x:c r="R268" s="31" t="str">
        <x:v>ok</x:v>
      </x:c>
      <x:c r="S268" s="51" t="n">
        <x:v>0.999984622001648</x:v>
      </x:c>
      <x:c r="T268" s="31" t="str">
        <x:v>https://mp.weixin.qq.com/s?__biz=MzUxOTMxNjk0OQ==&amp;mid=2247503647&amp;idx=1&amp;sn=a886f3efba578acb81bc1a16d859a562&amp;chksm=f9f9fba5ce8e72b3f3595fe772953b568117c618c1de92e6c486037c40481fb48334bced773f#rd</x:v>
      </x:c>
    </x:row>
    <x:row r="269">
      <x:c r="A269" s="36" t="d">
        <x:v>2025-09-25T00:00:00.000Z</x:v>
      </x:c>
      <x:c r="B269" s="48" t="n">
        <x:v>40</x:v>
      </x:c>
      <x:c r="C269" s="48" t="n">
        <x:v>40</x:v>
      </x:c>
      <x:c r="D269" s="48" t="n">
        <x:v>40</x:v>
      </x:c>
      <x:c r="E269" s="48" t="n">
        <x:v>40</x:v>
      </x:c>
      <x:c r="F269" s="48" t="n">
        <x:v>40</x:v>
      </x:c>
      <x:c r="G269" s="48" t="n">
        <x:v>40</x:v>
      </x:c>
      <x:c r="H269" s="48" t="n">
        <x:v>40</x:v>
      </x:c>
      <x:c r="I269" s="48" t="n">
        <x:v>40</x:v>
      </x:c>
      <x:c r="J269" s="48" t="n">
        <x:v>40</x:v>
      </x:c>
      <x:c r="K269" s="48" t="n">
        <x:v>40</x:v>
      </x:c>
      <x:c r="L269" s="48" t="n">
        <x:v>40</x:v>
      </x:c>
      <x:c r="M269" s="48" t="n">
        <x:v>40</x:v>
      </x:c>
      <x:c r="N269" s="48" t="n">
        <x:v>0.64</x:v>
      </x:c>
      <x:c r="O269" s="48" t="n">
        <x:v>0.42</x:v>
      </x:c>
      <x:c r="P269" s="48" t="n">
        <x:v>0.62</x:v>
      </x:c>
      <x:c r="Q269" s="48" t="n">
        <x:v>0.45</x:v>
      </x:c>
      <x:c r="R269" s="31" t="str">
        <x:v>ok</x:v>
      </x:c>
      <x:c r="S269" s="51" t="n">
        <x:v>0.9999953508377075</x:v>
      </x:c>
      <x:c r="T269" s="31" t="str">
        <x:v>https://mp.weixin.qq.com/s?__biz=MzUxOTMxNjk0OQ==&amp;mid=2247503652&amp;idx=1&amp;sn=340c6df22752ee3404ec5b0fc6923e0d&amp;chksm=f9f9fb9ece8e7288cd4a8084d85da333b922715564641cf0c6d624d7ee36a128be71ded2a9d3#rd</x:v>
      </x:c>
    </x:row>
    <x:row r="270">
      <x:c r="A270" s="36" t="d">
        <x:v>2025-09-26T00:00:00.000Z</x:v>
      </x:c>
      <x:c r="B270" s="48" t="n">
        <x:v>74.56</x:v>
      </x:c>
      <x:c r="C270" s="48" t="n">
        <x:v>45.43</x:v>
      </x:c>
      <x:c r="D270" s="48" t="n">
        <x:v>89.5</x:v>
      </x:c>
      <x:c r="E270" s="48" t="n">
        <x:v>64.09</x:v>
      </x:c>
      <x:c r="F270" s="48" t="n">
        <x:v>278</x:v>
      </x:c>
      <x:c r="G270" s="48" t="n">
        <x:v>40</x:v>
      </x:c>
      <x:c r="H270" s="48" t="n">
        <x:v>278</x:v>
      </x:c>
      <x:c r="I270" s="48" t="n">
        <x:v>40</x:v>
      </x:c>
      <x:c r="J270" s="48" t="n">
        <x:v>379</x:v>
      </x:c>
      <x:c r="K270" s="48" t="n">
        <x:v>40</x:v>
      </x:c>
      <x:c r="L270" s="48" t="n">
        <x:v>379</x:v>
      </x:c>
      <x:c r="M270" s="48" t="n">
        <x:v>40</x:v>
      </x:c>
      <x:c r="N270" s="48" t="n">
        <x:v>0.69</x:v>
      </x:c>
      <x:c r="O270" s="48" t="n">
        <x:v>0.43</x:v>
      </x:c>
      <x:c r="P270" s="48" t="n">
        <x:v>0.78</x:v>
      </x:c>
      <x:c r="Q270" s="48" t="n">
        <x:v>0.37</x:v>
      </x:c>
      <x:c r="R270" s="31" t="str">
        <x:v>ok</x:v>
      </x:c>
      <x:c r="S270" s="51" t="n">
        <x:v>0.999840259552002</x:v>
      </x:c>
      <x:c r="T270" s="31" t="str">
        <x:v>https://mp.weixin.qq.com/s?__biz=MzUxOTMxNjk0OQ==&amp;mid=2247503662&amp;idx=1&amp;sn=e9027a8c8308dbba3143b92a1d1ac98c&amp;chksm=f9f9fb94ce8e7282515387ab0f41226c647d51fa87a2d344bcc71c1298e391b7d0c3ec0a8877#rd</x:v>
      </x:c>
    </x:row>
    <x:row r="271">
      <x:c r="A271" s="36" t="d">
        <x:v>2025-09-27T00:00:00.000Z</x:v>
      </x:c>
      <x:c r="B271" s="48" t="n">
        <x:v>66.33</x:v>
      </x:c>
      <x:c r="C271" s="48" t="n">
        <x:v>74.16</x:v>
      </x:c>
      <x:c r="D271" s="48" t="n">
        <x:v>244.3</x:v>
      </x:c>
      <x:c r="E271" s="48" t="n">
        <x:v>894.44</x:v>
      </x:c>
      <x:c r="F271" s="48" t="n">
        <x:v>277</x:v>
      </x:c>
      <x:c r="G271" s="48" t="n">
        <x:v>40</x:v>
      </x:c>
      <x:c r="H271" s="48" t="n">
        <x:v>277</x:v>
      </x:c>
      <x:c r="I271" s="48" t="n">
        <x:v>40</x:v>
      </x:c>
      <x:c r="J271" s="48" t="n">
        <x:v>1000</x:v>
      </x:c>
      <x:c r="K271" s="48" t="n">
        <x:v>40</x:v>
      </x:c>
      <x:c r="L271" s="48" t="n">
        <x:v>1000</x:v>
      </x:c>
      <x:c r="M271" s="48" t="n">
        <x:v>40</x:v>
      </x:c>
      <x:c r="N271" s="48" t="n">
        <x:v>0.41</x:v>
      </x:c>
      <x:c r="O271" s="48" t="n">
        <x:v>0.34</x:v>
      </x:c>
      <x:c r="P271" s="48" t="n">
        <x:v>0.23</x:v>
      </x:c>
      <x:c r="Q271" s="48" t="n">
        <x:v>0.24</x:v>
      </x:c>
      <x:c r="R271" s="31" t="str">
        <x:v>ok</x:v>
      </x:c>
      <x:c r="S271" s="51" t="n">
        <x:v>0.9998681545257568</x:v>
      </x:c>
      <x:c r="T271" s="31" t="str">
        <x:v>https://mp.weixin.qq.com/s?__biz=MzUxOTMxNjk0OQ==&amp;mid=2247503666&amp;idx=1&amp;sn=130237690ce8a898a299eda652cb9c86&amp;chksm=f9f9fb88ce8e729e05a17947f019cbc47dc722a65e59827aa3a1a9bb977bd6c1c538da5ea66e#rd</x:v>
      </x:c>
    </x:row>
    <x:row r="272">
      <x:c r="A272" s="36" t="d">
        <x:v>2025-09-28T00:00:00.000Z</x:v>
      </x:c>
      <x:c r="B272" s="48" t="n">
        <x:v>95.84</x:v>
      </x:c>
      <x:c r="C272" s="48" t="n">
        <x:v>57.04</x:v>
      </x:c>
      <x:c r="D272" s="48" t="n">
        <x:v>180.03</x:v>
      </x:c>
      <x:c r="E272" s="48" t="n">
        <x:v>224.32</x:v>
      </x:c>
      <x:c r="F272" s="48" t="n">
        <x:v>1000</x:v>
      </x:c>
      <x:c r="G272" s="48" t="n">
        <x:v>40</x:v>
      </x:c>
      <x:c r="H272" s="48" t="n">
        <x:v>1000</x:v>
      </x:c>
      <x:c r="I272" s="48" t="n">
        <x:v>40</x:v>
      </x:c>
      <x:c r="J272" s="48" t="n">
        <x:v>1000</x:v>
      </x:c>
      <x:c r="K272" s="48" t="n">
        <x:v>40</x:v>
      </x:c>
      <x:c r="L272" s="48" t="n">
        <x:v>1000</x:v>
      </x:c>
      <x:c r="M272" s="48" t="n">
        <x:v>40</x:v>
      </x:c>
      <x:c r="N272" s="48" t="n">
        <x:v>0.34</x:v>
      </x:c>
      <x:c r="O272" s="48" t="n">
        <x:v>0.46</x:v>
      </x:c>
      <x:c r="P272" s="48" t="n">
        <x:v>0.17</x:v>
      </x:c>
      <x:c r="Q272" s="48" t="n">
        <x:v>0.38</x:v>
      </x:c>
      <x:c r="R272" s="31" t="str">
        <x:v>ok</x:v>
      </x:c>
      <x:c r="S272" s="51" t="n">
        <x:v>0.9999819397926331</x:v>
      </x:c>
      <x:c r="T272" s="31" t="str">
        <x:v>https://mp.weixin.qq.com/s?__biz=MzUxOTMxNjk0OQ==&amp;mid=2247503688&amp;idx=1&amp;sn=cea1242e7801bb0ea17d5830141bfebc&amp;chksm=f9f9fbf2ce8e72e49fe12f8ff29b7cd817082780e9516b60c25986e21320c7c6ff7768445023#rd</x:v>
      </x:c>
    </x:row>
    <x:row r="273">
      <x:c r="A273" s="36" t="d">
        <x:v>2025-09-29T00:00:00.000Z</x:v>
      </x:c>
      <x:c r="B273" s="48" t="n">
        <x:v>92.56</x:v>
      </x:c>
      <x:c r="C273" s="48" t="n">
        <x:v>43.54</x:v>
      </x:c>
      <x:c r="D273" s="48" t="n">
        <x:v>129.1</x:v>
      </x:c>
      <x:c r="E273" s="48" t="n">
        <x:v>46.07</x:v>
      </x:c>
      <x:c r="F273" s="48" t="n">
        <x:v>379</x:v>
      </x:c>
      <x:c r="G273" s="48" t="n">
        <x:v>40</x:v>
      </x:c>
      <x:c r="H273" s="48" t="n">
        <x:v>379</x:v>
      </x:c>
      <x:c r="I273" s="48" t="n">
        <x:v>40</x:v>
      </x:c>
      <x:c r="J273" s="48" t="n">
        <x:v>560</x:v>
      </x:c>
      <x:c r="K273" s="48" t="n">
        <x:v>40</x:v>
      </x:c>
      <x:c r="L273" s="48" t="n">
        <x:v>560</x:v>
      </x:c>
      <x:c r="M273" s="48" t="n">
        <x:v>40</x:v>
      </x:c>
      <x:c r="N273" s="48" t="n">
        <x:v>0.24</x:v>
      </x:c>
      <x:c r="O273" s="48" t="n">
        <x:v>0.36</x:v>
      </x:c>
      <x:c r="P273" s="48" t="n">
        <x:v>0.15</x:v>
      </x:c>
      <x:c r="Q273" s="48" t="n">
        <x:v>0.5</x:v>
      </x:c>
      <x:c r="R273" s="31" t="str">
        <x:v>ok</x:v>
      </x:c>
      <x:c r="S273" s="51" t="n">
        <x:v>0.912787675857544</x:v>
      </x:c>
      <x:c r="T273" s="31" t="str">
        <x:v>https://mp.weixin.qq.com/s?__biz=MzUxOTMxNjk0OQ==&amp;mid=2247503692&amp;idx=1&amp;sn=86577a6e0d465ee81c6dd7d8dd759d1f&amp;chksm=f9f9fbf6ce8e72e08276130a0bebf8cec5edde9d392d45bcb5c042ea9e17e5323bc2e7cbd802#rd</x:v>
      </x:c>
    </x:row>
    <x:row r="274">
      <x:c r="A274" s="36" t="d">
        <x:v>2025-09-30T00:00:00.000Z</x:v>
      </x:c>
      <x:c r="B274" s="48" t="n">
        <x:v>99.89</x:v>
      </x:c>
      <x:c r="C274" s="48" t="n">
        <x:v>46.09</x:v>
      </x:c>
      <x:c r="D274" s="48" t="n">
        <x:v>127.62</x:v>
      </x:c>
      <x:c r="E274" s="48" t="n">
        <x:v>49.06</x:v>
      </x:c>
      <x:c r="F274" s="48" t="n">
        <x:v>372</x:v>
      </x:c>
      <x:c r="G274" s="48" t="n">
        <x:v>40</x:v>
      </x:c>
      <x:c r="H274" s="48" t="n">
        <x:v>372</x:v>
      </x:c>
      <x:c r="I274" s="48" t="n">
        <x:v>40</x:v>
      </x:c>
      <x:c r="J274" s="48" t="n">
        <x:v>560</x:v>
      </x:c>
      <x:c r="K274" s="48" t="n">
        <x:v>40</x:v>
      </x:c>
      <x:c r="L274" s="48" t="n">
        <x:v>560</x:v>
      </x:c>
      <x:c r="M274" s="48" t="n">
        <x:v>40</x:v>
      </x:c>
      <x:c r="N274" s="48" t="n">
        <x:v>0.25</x:v>
      </x:c>
      <x:c r="O274" s="48" t="n">
        <x:v>0.4</x:v>
      </x:c>
      <x:c r="P274" s="48" t="n">
        <x:v>0.19</x:v>
      </x:c>
      <x:c r="Q274" s="48" t="n">
        <x:v>0.52</x:v>
      </x:c>
      <x:c r="R274" s="31" t="str">
        <x:v>ok</x:v>
      </x:c>
      <x:c r="S274" s="51" t="n">
        <x:v>0.9966187477111816</x:v>
      </x:c>
      <x:c r="T274" s="31" t="str">
        <x:v>https://mp.weixin.qq.com/s?__biz=MzUxOTMxNjk0OQ==&amp;mid=2247503697&amp;idx=1&amp;sn=96ee68f3024aadac00cb79123d31d98f&amp;chksm=f9f9fbebce8e72fd756662960ae7288a35d43613b59038a22e455fab49791a4eb930ffaa9688#rd</x:v>
      </x:c>
    </x:row>
    <x:row r="275">
      <x:c r="A275" s="36" t="d">
        <x:v>2025-10-01T00:00:00.000Z</x:v>
      </x:c>
      <x:c r="B275" s="48" t="n">
        <x:v>250.12</x:v>
      </x:c>
      <x:c r="C275" s="48" t="n">
        <x:v>179.29</x:v>
      </x:c>
      <x:c r="D275" s="48" t="n">
        <x:v>210.36</x:v>
      </x:c>
      <x:c r="E275" s="48" t="n">
        <x:v>319.32</x:v>
      </x:c>
      <x:c r="F275" s="48" t="n">
        <x:v>1000</x:v>
      </x:c>
      <x:c r="G275" s="48" t="n">
        <x:v>40</x:v>
      </x:c>
      <x:c r="H275" s="48" t="n">
        <x:v>1000</x:v>
      </x:c>
      <x:c r="I275" s="48" t="n">
        <x:v>40</x:v>
      </x:c>
      <x:c r="J275" s="48" t="n">
        <x:v>1000</x:v>
      </x:c>
      <x:c r="K275" s="48" t="n">
        <x:v>40</x:v>
      </x:c>
      <x:c r="L275" s="48" t="n">
        <x:v>1000</x:v>
      </x:c>
      <x:c r="M275" s="48" t="n">
        <x:v>40</x:v>
      </x:c>
      <x:c r="N275" s="48" t="n">
        <x:v>0.38</x:v>
      </x:c>
      <x:c r="O275" s="48" t="n">
        <x:v>0.16</x:v>
      </x:c>
      <x:c r="P275" s="48" t="n">
        <x:v>0.4</x:v>
      </x:c>
      <x:c r="Q275" s="48" t="n">
        <x:v>0.15</x:v>
      </x:c>
      <x:c r="R275" s="31" t="str">
        <x:v>ok</x:v>
      </x:c>
      <x:c r="S275" s="51" t="n">
        <x:v>0.9810578227043152</x:v>
      </x:c>
      <x:c r="T275" s="31" t="str">
        <x:v>https://mp.weixin.qq.com/s?__biz=MzUxOTMxNjk0OQ==&amp;mid=2247503701&amp;idx=1&amp;sn=e19958f89e7e6ddbe10225f40af5ac46&amp;chksm=f9f9fbefce8e72f909112dacf9e1360baecfff8296ed93103865d70475079e0eb1758e43324e#rd</x:v>
      </x:c>
    </x:row>
    <x:row r="276">
      <x:c r="A276" s="36" t="d">
        <x:v>2025-10-02T00:00:00.000Z</x:v>
      </x:c>
      <x:c r="B276" s="48" t="n">
        <x:v>151.13</x:v>
      </x:c>
      <x:c r="C276" s="48" t="n">
        <x:v>54.21</x:v>
      </x:c>
      <x:c r="D276" s="48" t="n">
        <x:v>163.4</x:v>
      </x:c>
      <x:c r="E276" s="48" t="n">
        <x:v>58.85</x:v>
      </x:c>
      <x:c r="F276" s="48" t="n">
        <x:v>500</x:v>
      </x:c>
      <x:c r="G276" s="48" t="n">
        <x:v>40</x:v>
      </x:c>
      <x:c r="H276" s="48" t="n">
        <x:v>500</x:v>
      </x:c>
      <x:c r="I276" s="48" t="n">
        <x:v>40</x:v>
      </x:c>
      <x:c r="J276" s="48" t="n">
        <x:v>1000</x:v>
      </x:c>
      <x:c r="K276" s="48" t="n">
        <x:v>40</x:v>
      </x:c>
      <x:c r="L276" s="48" t="n">
        <x:v>1000</x:v>
      </x:c>
      <x:c r="M276" s="48" t="n">
        <x:v>40</x:v>
      </x:c>
      <x:c r="N276" s="48" t="n">
        <x:v>0.49</x:v>
      </x:c>
      <x:c r="O276" s="48" t="n">
        <x:v>0.35</x:v>
      </x:c>
      <x:c r="P276" s="48" t="n">
        <x:v>0.37</x:v>
      </x:c>
      <x:c r="Q276" s="48" t="n">
        <x:v>0.39</x:v>
      </x:c>
      <x:c r="R276" s="31" t="str">
        <x:v>ok</x:v>
      </x:c>
      <x:c r="S276" s="51" t="n">
        <x:v>0.999978244304657</x:v>
      </x:c>
      <x:c r="T276" s="31" t="str">
        <x:v>https://mp.weixin.qq.com/s?__biz=MzUxOTMxNjk0OQ==&amp;mid=2247503705&amp;idx=1&amp;sn=dd2cdfc82a2fd63251f2132f8457a913&amp;chksm=f9f9fbe3ce8e72f5d062d0d70f9692b6c7fea223148bd8751460f4fa7aea0d5f75c2417b143a#rd</x:v>
      </x:c>
    </x:row>
    <x:row r="277">
      <x:c r="A277" s="36" t="d">
        <x:v>2025-10-03T00:00:00.000Z</x:v>
      </x:c>
      <x:c r="B277" s="48" t="n">
        <x:v>193.72</x:v>
      </x:c>
      <x:c r="C277" s="48" t="n">
        <x:v>54.63</x:v>
      </x:c>
      <x:c r="D277" s="48" t="n">
        <x:v>131.09</x:v>
      </x:c>
      <x:c r="E277" s="48" t="n">
        <x:v>77.4</x:v>
      </x:c>
      <x:c r="F277" s="48" t="n">
        <x:v>1000</x:v>
      </x:c>
      <x:c r="G277" s="48" t="n">
        <x:v>40</x:v>
      </x:c>
      <x:c r="H277" s="48" t="n">
        <x:v>1000</x:v>
      </x:c>
      <x:c r="I277" s="48" t="n">
        <x:v>40</x:v>
      </x:c>
      <x:c r="J277" s="48" t="n">
        <x:v>1000</x:v>
      </x:c>
      <x:c r="K277" s="48" t="n">
        <x:v>40</x:v>
      </x:c>
      <x:c r="L277" s="48" t="n">
        <x:v>1000</x:v>
      </x:c>
      <x:c r="M277" s="48" t="n">
        <x:v>40</x:v>
      </x:c>
      <x:c r="N277" s="48" t="n">
        <x:v>0.54</x:v>
      </x:c>
      <x:c r="O277" s="48" t="n">
        <x:v>0.33</x:v>
      </x:c>
      <x:c r="P277" s="48" t="n">
        <x:v>0.44</x:v>
      </x:c>
      <x:c r="Q277" s="48" t="n">
        <x:v>0.35</x:v>
      </x:c>
      <x:c r="R277" s="31" t="str">
        <x:v>ok</x:v>
      </x:c>
      <x:c r="S277" s="51" t="n">
        <x:v>0.974321722984314</x:v>
      </x:c>
      <x:c r="T277" s="31" t="str">
        <x:v>https://mp.weixin.qq.com/s?__biz=MzUxOTMxNjk0OQ==&amp;mid=2247503709&amp;idx=1&amp;sn=650923bc2ddd314188d138dc26e6d7a7&amp;chksm=f9f9fbe7ce8e72f1297ee046cb22ca773725b1d84e68ab70f8b047566059fd66b06756dda37e#rd</x:v>
      </x:c>
    </x:row>
    <x:row r="278">
      <x:c r="A278" s="36" t="d">
        <x:v>2025-10-04T00:00:00.000Z</x:v>
      </x:c>
      <x:c r="B278" s="48" t="n">
        <x:v>318.76</x:v>
      </x:c>
      <x:c r="C278" s="48" t="n">
        <x:v>267.74</x:v>
      </x:c>
      <x:c r="D278" s="48" t="n">
        <x:v>359.85</x:v>
      </x:c>
      <x:c r="E278" s="48" t="n">
        <x:v>338.02</x:v>
      </x:c>
      <x:c r="F278" s="48" t="n">
        <x:v>425.4</x:v>
      </x:c>
      <x:c r="G278" s="48" t="n">
        <x:v>40</x:v>
      </x:c>
      <x:c r="H278" s="48" t="n">
        <x:v>425.4</x:v>
      </x:c>
      <x:c r="I278" s="48" t="n">
        <x:v>40</x:v>
      </x:c>
      <x:c r="J278" s="48" t="n">
        <x:v>425.4</x:v>
      </x:c>
      <x:c r="K278" s="48" t="n">
        <x:v>40</x:v>
      </x:c>
      <x:c r="L278" s="48" t="n">
        <x:v>425.4</x:v>
      </x:c>
      <x:c r="M278" s="48" t="n">
        <x:v>40</x:v>
      </x:c>
      <x:c r="N278" s="48" t="n">
        <x:v>0.2</x:v>
      </x:c>
      <x:c r="O278" s="48" t="n">
        <x:v>0.27</x:v>
      </x:c>
      <x:c r="P278" s="48" t="n">
        <x:v>0.12</x:v>
      </x:c>
      <x:c r="Q278" s="48" t="n">
        <x:v>0.22</x:v>
      </x:c>
      <x:c r="R278" s="31" t="str">
        <x:v>ok</x:v>
      </x:c>
      <x:c r="S278" s="51" t="n">
        <x:v>0.9999891519546509</x:v>
      </x:c>
      <x:c r="T278" s="31" t="str">
        <x:v>https://mp.weixin.qq.com/s?__biz=MzUxOTMxNjk0OQ==&amp;mid=2247503713&amp;idx=1&amp;sn=337c874dd3052bc729abc666fb9d4c8a&amp;chksm=f9f9fbdbce8e72cd48501e1a39ee48e70d906ccc5f849e9e392fc13148ac0d97297658b9bcae#rd</x:v>
      </x:c>
    </x:row>
    <x:row r="279">
      <x:c r="A279" s="36" t="d">
        <x:v>2025-10-05T00:00:00.000Z</x:v>
      </x:c>
      <x:c r="B279" s="48" t="n">
        <x:v>359.6</x:v>
      </x:c>
      <x:c r="C279" s="48" t="n">
        <x:v>358.73</x:v>
      </x:c>
      <x:c r="D279" s="48" t="n">
        <x:v>285.22</x:v>
      </x:c>
      <x:c r="E279" s="48" t="n">
        <x:v>595.42</x:v>
      </x:c>
      <x:c r="F279" s="48" t="n">
        <x:v>1000</x:v>
      </x:c>
      <x:c r="G279" s="48" t="n">
        <x:v>40</x:v>
      </x:c>
      <x:c r="H279" s="48" t="n">
        <x:v>1000</x:v>
      </x:c>
      <x:c r="I279" s="48" t="n">
        <x:v>40</x:v>
      </x:c>
      <x:c r="J279" s="48" t="n">
        <x:v>1000</x:v>
      </x:c>
      <x:c r="K279" s="48" t="n">
        <x:v>40</x:v>
      </x:c>
      <x:c r="L279" s="48" t="n">
        <x:v>1000</x:v>
      </x:c>
      <x:c r="M279" s="48" t="n">
        <x:v>40</x:v>
      </x:c>
      <x:c r="N279" s="48" t="n">
        <x:v>0.21</x:v>
      </x:c>
      <x:c r="O279" s="48" t="n">
        <x:v>0.16</x:v>
      </x:c>
      <x:c r="P279" s="48" t="n">
        <x:v>0.21</x:v>
      </x:c>
      <x:c r="Q279" s="48" t="n">
        <x:v>0.11</x:v>
      </x:c>
      <x:c r="R279" s="31" t="str">
        <x:v>ok</x:v>
      </x:c>
      <x:c r="S279" s="51" t="n">
        <x:v>0.9999839663505554</x:v>
      </x:c>
      <x:c r="T279" s="31" t="str">
        <x:v>https://mp.weixin.qq.com/s?__biz=MzUxOTMxNjk0OQ==&amp;mid=2247503717&amp;idx=1&amp;sn=7d95428dc9c11857e96cd214b5df0b20&amp;chksm=f9f9fbdfce8e72c985e5c98247584f810bbd3d6d3b9a906376b01d9212707fc5d22cda3adbb5#rd</x:v>
      </x:c>
    </x:row>
    <x:row r="280">
      <x:c r="A280" s="36" t="d">
        <x:v>2025-10-06T00:00:00.000Z</x:v>
      </x:c>
      <x:c r="B280" s="48" t="n">
        <x:v>171.63</x:v>
      </x:c>
      <x:c r="C280" s="48" t="n">
        <x:v>52.87</x:v>
      </x:c>
      <x:c r="D280" s="48" t="n">
        <x:v>207.53</x:v>
      </x:c>
      <x:c r="E280" s="48" t="n">
        <x:v>61.97</x:v>
      </x:c>
      <x:c r="F280" s="48" t="n">
        <x:v>1000</x:v>
      </x:c>
      <x:c r="G280" s="48" t="n">
        <x:v>40</x:v>
      </x:c>
      <x:c r="H280" s="48" t="n">
        <x:v>1000</x:v>
      </x:c>
      <x:c r="I280" s="48" t="n">
        <x:v>40</x:v>
      </x:c>
      <x:c r="J280" s="48" t="n">
        <x:v>1000</x:v>
      </x:c>
      <x:c r="K280" s="48" t="n">
        <x:v>40</x:v>
      </x:c>
      <x:c r="L280" s="48" t="n">
        <x:v>1000</x:v>
      </x:c>
      <x:c r="M280" s="48" t="n">
        <x:v>40</x:v>
      </x:c>
      <x:c r="N280" s="48" t="n">
        <x:v>0.2</x:v>
      </x:c>
      <x:c r="O280" s="48" t="n">
        <x:v>0.27</x:v>
      </x:c>
      <x:c r="P280" s="48" t="n">
        <x:v>0.13</x:v>
      </x:c>
      <x:c r="Q280" s="48" t="n">
        <x:v>0.24</x:v>
      </x:c>
      <x:c r="R280" s="31" t="str">
        <x:v>ok</x:v>
      </x:c>
      <x:c r="S280" s="51" t="n">
        <x:v>0.9998856782913208</x:v>
      </x:c>
      <x:c r="T280" s="31" t="str">
        <x:v>https://mp.weixin.qq.com/s?__biz=MzUxOTMxNjk0OQ==&amp;mid=2247503721&amp;idx=1&amp;sn=0782f7082e0bc164034807d7f934575a&amp;chksm=f9f9fbd3ce8e72c5cefc7469554a4e5b3ab90475b46123119a148aa383fafb96931b2e96cb5b#rd</x:v>
      </x:c>
    </x:row>
    <x:row r="281">
      <x:c r="A281" s="36" t="d">
        <x:v>2025-10-07T00:00:00.000Z</x:v>
      </x:c>
      <x:c r="B281" s="48" t="n">
        <x:v>130.71</x:v>
      </x:c>
      <x:c r="C281" s="48" t="n">
        <x:v>51.84</x:v>
      </x:c>
      <x:c r="D281" s="48" t="n">
        <x:v>200.28</x:v>
      </x:c>
      <x:c r="E281" s="48" t="n">
        <x:v>113.46</x:v>
      </x:c>
      <x:c r="F281" s="48" t="n">
        <x:v>1000</x:v>
      </x:c>
      <x:c r="G281" s="48" t="n">
        <x:v>40</x:v>
      </x:c>
      <x:c r="H281" s="48" t="n">
        <x:v>1000</x:v>
      </x:c>
      <x:c r="I281" s="48" t="n">
        <x:v>40</x:v>
      </x:c>
      <x:c r="J281" s="48" t="n">
        <x:v>1000</x:v>
      </x:c>
      <x:c r="K281" s="48" t="n">
        <x:v>40</x:v>
      </x:c>
      <x:c r="L281" s="48" t="n">
        <x:v>1000</x:v>
      </x:c>
      <x:c r="M281" s="48" t="n">
        <x:v>40</x:v>
      </x:c>
      <x:c r="N281" s="48" t="n">
        <x:v>0.24</x:v>
      </x:c>
      <x:c r="O281" s="48" t="n">
        <x:v>0.29</x:v>
      </x:c>
      <x:c r="P281" s="48" t="n">
        <x:v>0.15</x:v>
      </x:c>
      <x:c r="Q281" s="48" t="n">
        <x:v>0.22</x:v>
      </x:c>
      <x:c r="R281" s="31" t="str">
        <x:v>ok</x:v>
      </x:c>
      <x:c r="S281" s="51" t="n">
        <x:v>0.9999812841415405</x:v>
      </x:c>
      <x:c r="T281" s="31" t="str">
        <x:v>https://mp.weixin.qq.com/s?__biz=MzUxOTMxNjk0OQ==&amp;mid=2247503725&amp;idx=1&amp;sn=02a6925c416401ee53d887bd16c4e542&amp;chksm=f9f9fbd7ce8e72c1e742c03fe6fb28605c64f7a8fcb137be4aaa0f693a6b3af745f10d83e56f#rd</x:v>
      </x:c>
    </x:row>
    <x:row r="282">
      <x:c r="A282" s="36" t="d">
        <x:v>2025-10-08T00:00:00.000Z</x:v>
      </x:c>
      <x:c r="B282" s="48" t="n">
        <x:v>83.05</x:v>
      </x:c>
      <x:c r="C282" s="48" t="n">
        <x:v>41.18</x:v>
      </x:c>
      <x:c r="D282" s="48" t="n">
        <x:v>177.07</x:v>
      </x:c>
      <x:c r="E282" s="48" t="n">
        <x:v>110.77</x:v>
      </x:c>
      <x:c r="F282" s="48" t="n">
        <x:v>480</x:v>
      </x:c>
      <x:c r="G282" s="48" t="n">
        <x:v>40</x:v>
      </x:c>
      <x:c r="H282" s="48" t="n">
        <x:v>480</x:v>
      </x:c>
      <x:c r="I282" s="48" t="n">
        <x:v>40</x:v>
      </x:c>
      <x:c r="J282" s="48" t="n">
        <x:v>1000</x:v>
      </x:c>
      <x:c r="K282" s="48" t="n">
        <x:v>40</x:v>
      </x:c>
      <x:c r="L282" s="48" t="n">
        <x:v>1000</x:v>
      </x:c>
      <x:c r="M282" s="48" t="n">
        <x:v>40</x:v>
      </x:c>
      <x:c r="N282" s="48" t="n">
        <x:v>0.79</x:v>
      </x:c>
      <x:c r="O282" s="48" t="n">
        <x:v>0.18</x:v>
      </x:c>
      <x:c r="P282" s="48" t="n">
        <x:v>0.66</x:v>
      </x:c>
      <x:c r="Q282" s="48" t="n">
        <x:v>0.16</x:v>
      </x:c>
      <x:c r="R282" s="31" t="str">
        <x:v>ok</x:v>
      </x:c>
      <x:c r="S282" s="51" t="n">
        <x:v>0.999984622001648</x:v>
      </x:c>
      <x:c r="T282" s="31" t="str">
        <x:v>https://mp.weixin.qq.com/s?__biz=MzUxOTMxNjk0OQ==&amp;mid=2247503734&amp;idx=2&amp;sn=54431ec0c0526342b440bb65136fb9b7&amp;chksm=f9f9fbccce8e72da3e33960fa051de066c422f3f46cd9239404c1838d8640a8fd3ffad805d6e#rd</x:v>
      </x:c>
    </x:row>
    <x:row r="283">
      <x:c r="A283" s="36" t="d">
        <x:v>2025-10-09T00:00:00.000Z</x:v>
      </x:c>
      <x:c r="B283" s="48" t="n">
        <x:v>153.97</x:v>
      </x:c>
      <x:c r="C283" s="48" t="n">
        <x:v>245.8</x:v>
      </x:c>
      <x:c r="D283" s="48" t="n">
        <x:v>320.22</x:v>
      </x:c>
      <x:c r="E283" s="48" t="n">
        <x:v>718.23</x:v>
      </x:c>
      <x:c r="F283" s="48" t="n">
        <x:v>502</x:v>
      </x:c>
      <x:c r="G283" s="48" t="n">
        <x:v>40</x:v>
      </x:c>
      <x:c r="H283" s="48" t="n">
        <x:v>502</x:v>
      </x:c>
      <x:c r="I283" s="48" t="n">
        <x:v>40</x:v>
      </x:c>
      <x:c r="J283" s="48" t="n">
        <x:v>1000</x:v>
      </x:c>
      <x:c r="K283" s="48" t="n">
        <x:v>40</x:v>
      </x:c>
      <x:c r="L283" s="48" t="n">
        <x:v>1000</x:v>
      </x:c>
      <x:c r="M283" s="48" t="n">
        <x:v>40</x:v>
      </x:c>
      <x:c r="N283" s="48" t="n">
        <x:v>0.4</x:v>
      </x:c>
      <x:c r="O283" s="48" t="n">
        <x:v>0.17</x:v>
      </x:c>
      <x:c r="P283" s="48" t="n">
        <x:v>0.3</x:v>
      </x:c>
      <x:c r="Q283" s="48" t="n">
        <x:v>0.13</x:v>
      </x:c>
      <x:c r="R283" s="31" t="str">
        <x:v>ok</x:v>
      </x:c>
      <x:c r="S283" s="51" t="n">
        <x:v>0.9999418258666992</x:v>
      </x:c>
      <x:c r="T283" s="31" t="str">
        <x:v>https://mp.weixin.qq.com/s?__biz=MzUxOTMxNjk0OQ==&amp;mid=2247503751&amp;idx=4&amp;sn=27f4c4e0b623b101fe129d87fd717f66&amp;chksm=f9f9fb3dce8e722bc4ea135197862eb3c819eb5168a0c05112b3c4932108329ea9e3301525b3#rd</x:v>
      </x:c>
    </x:row>
    <x:row r="284">
      <x:c r="A284" s="36" t="d">
        <x:v>2025-10-10T00:00:00.000Z</x:v>
      </x:c>
      <x:c r="B284" s="48" t="n">
        <x:v>299.75</x:v>
      </x:c>
      <x:c r="C284" s="48" t="n">
        <x:v>308.09</x:v>
      </x:c>
      <x:c r="D284" s="48" t="n">
        <x:v>361.59</x:v>
      </x:c>
      <x:c r="E284" s="48" t="n">
        <x:v>492.49</x:v>
      </x:c>
      <x:c r="F284" s="48" t="n">
        <x:v>480</x:v>
      </x:c>
      <x:c r="G284" s="48" t="n">
        <x:v>40</x:v>
      </x:c>
      <x:c r="H284" s="48" t="n">
        <x:v>480</x:v>
      </x:c>
      <x:c r="I284" s="48" t="n">
        <x:v>40</x:v>
      </x:c>
      <x:c r="J284" s="48" t="n">
        <x:v>1000</x:v>
      </x:c>
      <x:c r="K284" s="48" t="n">
        <x:v>40</x:v>
      </x:c>
      <x:c r="L284" s="48" t="n">
        <x:v>1000</x:v>
      </x:c>
      <x:c r="M284" s="48" t="n">
        <x:v>40</x:v>
      </x:c>
      <x:c r="N284" s="48" t="n">
        <x:v>0.34</x:v>
      </x:c>
      <x:c r="O284" s="48" t="n">
        <x:v>0.14</x:v>
      </x:c>
      <x:c r="P284" s="48" t="n">
        <x:v>0.21</x:v>
      </x:c>
      <x:c r="Q284" s="48" t="n">
        <x:v>0.1</x:v>
      </x:c>
      <x:c r="R284" s="31" t="str">
        <x:v>ok</x:v>
      </x:c>
      <x:c r="S284" s="51" t="n">
        <x:v>0.9442586898803711</x:v>
      </x:c>
      <x:c r="T284" s="31" t="str">
        <x:v>https://mp.weixin.qq.com/s?__biz=MzUxOTMxNjk0OQ==&amp;mid=2247503755&amp;idx=1&amp;sn=2b319c203a1002908cb837b0078c164b&amp;chksm=f9f9fb31ce8e722736fa94d2c1f221f4e6a7188f2113f6bd658d83e0c5c38d0fdc69d0bd30e2#rd</x:v>
      </x:c>
    </x:row>
    <x:row r="285">
      <x:c r="A285" s="36" t="d">
        <x:v>2025-10-11T00:00:00.000Z</x:v>
      </x:c>
      <x:c r="B285" s="48" t="n">
        <x:v>244.42</x:v>
      </x:c>
      <x:c r="C285" s="48" t="n">
        <x:v>194.69</x:v>
      </x:c>
      <x:c r="D285" s="48" t="n">
        <x:v>319.44</x:v>
      </x:c>
      <x:c r="E285" s="48" t="n">
        <x:v>333.21</x:v>
      </x:c>
      <x:c r="F285" s="48" t="n">
        <x:v>500.84</x:v>
      </x:c>
      <x:c r="G285" s="48" t="n">
        <x:v>40</x:v>
      </x:c>
      <x:c r="H285" s="48" t="n">
        <x:v>503.13</x:v>
      </x:c>
      <x:c r="I285" s="48" t="n">
        <x:v>40</x:v>
      </x:c>
      <x:c r="J285" s="48" t="n">
        <x:v>1000</x:v>
      </x:c>
      <x:c r="K285" s="48" t="n">
        <x:v>40</x:v>
      </x:c>
      <x:c r="L285" s="48" t="n">
        <x:v>1000</x:v>
      </x:c>
      <x:c r="M285" s="48" t="n">
        <x:v>40</x:v>
      </x:c>
      <x:c r="N285" s="48" t="n">
        <x:v>0.28</x:v>
      </x:c>
      <x:c r="O285" s="48" t="n">
        <x:v>0.27</x:v>
      </x:c>
      <x:c r="P285" s="48" t="n">
        <x:v>0.17</x:v>
      </x:c>
      <x:c r="Q285" s="48" t="n">
        <x:v>0.22</x:v>
      </x:c>
      <x:c r="R285" s="31" t="str">
        <x:v>ok</x:v>
      </x:c>
      <x:c r="S285" s="51" t="n">
        <x:v>0.9999862909317017</x:v>
      </x:c>
      <x:c r="T285" s="31" t="str">
        <x:v>https://mp.weixin.qq.com/s?__biz=MzUxOTMxNjk0OQ==&amp;mid=2247503761&amp;idx=2&amp;sn=34c39891c02d2519fed61ab5c4290981&amp;chksm=f9f9fb2bce8e723d421b66953b440455874a45863297e71f8f87bb44a31a5a95b888b3902581#rd</x:v>
      </x:c>
    </x:row>
    <x:row r="286">
      <x:c r="A286" s="36" t="d">
        <x:v>2025-10-12T00:00:00.000Z</x:v>
      </x:c>
      <x:c r="B286" s="48" t="n">
        <x:v>156.83</x:v>
      </x:c>
      <x:c r="C286" s="48" t="n">
        <x:v>151.59</x:v>
      </x:c>
      <x:c r="D286" s="48" t="n">
        <x:v>249.88</x:v>
      </x:c>
      <x:c r="E286" s="48" t="n">
        <x:v>280.51</x:v>
      </x:c>
      <x:c r="F286" s="48" t="n">
        <x:v>509</x:v>
      </x:c>
      <x:c r="G286" s="48" t="n">
        <x:v>40</x:v>
      </x:c>
      <x:c r="H286" s="48" t="n">
        <x:v>509</x:v>
      </x:c>
      <x:c r="I286" s="48" t="n">
        <x:v>40</x:v>
      </x:c>
      <x:c r="J286" s="48" t="n">
        <x:v>509</x:v>
      </x:c>
      <x:c r="K286" s="48" t="n">
        <x:v>40</x:v>
      </x:c>
      <x:c r="L286" s="48" t="n">
        <x:v>509</x:v>
      </x:c>
      <x:c r="M286" s="48" t="n">
        <x:v>40</x:v>
      </x:c>
      <x:c r="N286" s="48" t="n">
        <x:v>0.26</x:v>
      </x:c>
      <x:c r="O286" s="48" t="n">
        <x:v>0.22</x:v>
      </x:c>
      <x:c r="P286" s="48" t="n">
        <x:v>0.14</x:v>
      </x:c>
      <x:c r="Q286" s="48" t="n">
        <x:v>0.19</x:v>
      </x:c>
      <x:c r="R286" s="31" t="str">
        <x:v>ok</x:v>
      </x:c>
      <x:c r="S286" s="51" t="n">
        <x:v>0.9992813467979431</x:v>
      </x:c>
      <x:c r="T286" s="31" t="str">
        <x:v>https://mp.weixin.qq.com/s?__biz=MzUxOTMxNjk0OQ==&amp;mid=2247503769&amp;idx=1&amp;sn=c88304cd74fb583067ea7e76fbab1f92&amp;chksm=f9f9fb23ce8e7235416ec0700e3fc77aa6b41fe48c1664bb08576ad464b34d3aeb261359a4a8#rd</x:v>
      </x:c>
    </x:row>
    <x:row r="287">
      <x:c r="A287" s="36" t="d">
        <x:v>2025-10-13T00:00:00.000Z</x:v>
      </x:c>
      <x:c r="B287" s="48" t="n">
        <x:v>118.84</x:v>
      </x:c>
      <x:c r="C287" s="48" t="n">
        <x:v>49.44</x:v>
      </x:c>
      <x:c r="D287" s="48" t="n">
        <x:v>101.98</x:v>
      </x:c>
      <x:c r="E287" s="48" t="n">
        <x:v>51.83</x:v>
      </x:c>
      <x:c r="F287" s="48" t="n">
        <x:v>1000</x:v>
      </x:c>
      <x:c r="G287" s="48" t="n">
        <x:v>40</x:v>
      </x:c>
      <x:c r="H287" s="48" t="n">
        <x:v>1000</x:v>
      </x:c>
      <x:c r="I287" s="48" t="n">
        <x:v>40</x:v>
      </x:c>
      <x:c r="J287" s="48" t="n">
        <x:v>1000</x:v>
      </x:c>
      <x:c r="K287" s="48" t="n">
        <x:v>40</x:v>
      </x:c>
      <x:c r="L287" s="48" t="n">
        <x:v>1000</x:v>
      </x:c>
      <x:c r="M287" s="48" t="n">
        <x:v>40</x:v>
      </x:c>
      <x:c r="N287" s="48" t="n">
        <x:v>0.48</x:v>
      </x:c>
      <x:c r="O287" s="48" t="n">
        <x:v>0.57</x:v>
      </x:c>
      <x:c r="P287" s="48" t="n">
        <x:v>0.3</x:v>
      </x:c>
      <x:c r="Q287" s="48" t="n">
        <x:v>0.54</x:v>
      </x:c>
      <x:c r="R287" s="31" t="str">
        <x:v>ok</x:v>
      </x:c>
      <x:c r="S287" s="51" t="n">
        <x:v>0.9999845027923584</x:v>
      </x:c>
      <x:c r="T287" s="31" t="str">
        <x:v>https://mp.weixin.qq.com/s?__biz=MzUxOTMxNjk0OQ==&amp;mid=2247503781&amp;idx=1&amp;sn=34dffe2406bba5c5412cf6be7d648c60&amp;chksm=f9f9fb1fce8e7209d388be77b45c91882d27f45ed9305c02d49055e2b76d611c0f58abcc755a#rd</x:v>
      </x:c>
    </x:row>
    <x:row r="288">
      <x:c r="A288" s="36" t="d">
        <x:v>2025-10-14T00:00:00.000Z</x:v>
      </x:c>
      <x:c r="B288" s="48" t="n">
        <x:v>118.21</x:v>
      </x:c>
      <x:c r="C288" s="48" t="n">
        <x:v>66.88</x:v>
      </x:c>
      <x:c r="D288" s="48" t="n">
        <x:v>163.49</x:v>
      </x:c>
      <x:c r="E288" s="48" t="n">
        <x:v>143.01</x:v>
      </x:c>
      <x:c r="F288" s="48" t="n">
        <x:v>379</x:v>
      </x:c>
      <x:c r="G288" s="48" t="n">
        <x:v>40</x:v>
      </x:c>
      <x:c r="H288" s="48" t="n">
        <x:v>379</x:v>
      </x:c>
      <x:c r="I288" s="48" t="n">
        <x:v>40</x:v>
      </x:c>
      <x:c r="J288" s="48" t="n">
        <x:v>1000</x:v>
      </x:c>
      <x:c r="K288" s="48" t="n">
        <x:v>40</x:v>
      </x:c>
      <x:c r="L288" s="48" t="n">
        <x:v>1000</x:v>
      </x:c>
      <x:c r="M288" s="48" t="n">
        <x:v>40</x:v>
      </x:c>
      <x:c r="N288" s="48" t="n">
        <x:v>0.69</x:v>
      </x:c>
      <x:c r="O288" s="48" t="n">
        <x:v>0.41</x:v>
      </x:c>
      <x:c r="P288" s="48" t="n">
        <x:v>0.66</x:v>
      </x:c>
      <x:c r="Q288" s="48" t="n">
        <x:v>0.36</x:v>
      </x:c>
      <x:c r="R288" s="31" t="str">
        <x:v>ok</x:v>
      </x:c>
      <x:c r="S288" s="51" t="n">
        <x:v>0.9997895359992981</x:v>
      </x:c>
      <x:c r="T288" s="31" t="str">
        <x:v>https://mp.weixin.qq.com/s?__biz=MzUxOTMxNjk0OQ==&amp;mid=2247503787&amp;idx=1&amp;sn=ed054e62173f5afe48ea5a80da9b7df7&amp;chksm=f9f9fb11ce8e720785b92a1a349eeba9d41a78bdefed2a040bf4d2577a3741b5995a34f15f4f#rd</x:v>
      </x:c>
    </x:row>
    <x:row r="289">
      <x:c r="A289" s="36" t="d">
        <x:v>2025-10-15T00:00:00.000Z</x:v>
      </x:c>
      <x:c r="B289" s="48" t="n">
        <x:v>194.97</x:v>
      </x:c>
      <x:c r="C289" s="48" t="n">
        <x:v>68.91</x:v>
      </x:c>
      <x:c r="D289" s="48" t="n">
        <x:v>163.11</x:v>
      </x:c>
      <x:c r="E289" s="48" t="n">
        <x:v>96.56</x:v>
      </x:c>
      <x:c r="F289" s="48" t="n">
        <x:v>1000</x:v>
      </x:c>
      <x:c r="G289" s="48" t="n">
        <x:v>40</x:v>
      </x:c>
      <x:c r="H289" s="48" t="n">
        <x:v>1000</x:v>
      </x:c>
      <x:c r="I289" s="48" t="n">
        <x:v>40</x:v>
      </x:c>
      <x:c r="J289" s="48" t="n">
        <x:v>1000</x:v>
      </x:c>
      <x:c r="K289" s="48" t="n">
        <x:v>40</x:v>
      </x:c>
      <x:c r="L289" s="48" t="n">
        <x:v>1000</x:v>
      </x:c>
      <x:c r="M289" s="48" t="n">
        <x:v>40</x:v>
      </x:c>
      <x:c r="N289" s="48" t="n">
        <x:v>0.26</x:v>
      </x:c>
      <x:c r="O289" s="48" t="n">
        <x:v>0.46</x:v>
      </x:c>
      <x:c r="P289" s="48" t="n">
        <x:v>0.23</x:v>
      </x:c>
      <x:c r="Q289" s="48" t="n">
        <x:v>0.42</x:v>
      </x:c>
      <x:c r="R289" s="31" t="str">
        <x:v>ok</x:v>
      </x:c>
      <x:c r="S289" s="51" t="n">
        <x:v>0.9999819993972778</x:v>
      </x:c>
      <x:c r="T289" s="31" t="str">
        <x:v>https://mp.weixin.qq.com/s?__biz=MzUxOTMxNjk0OQ==&amp;mid=2247503791&amp;idx=1&amp;sn=9025f4d0cfc5e4c869e3a3ee8a86a404&amp;chksm=f9f9fb15ce8e7203bce711e9668e7a893940339a1e6d6fa4ad1c42fb2e6f3d6123d0356bbcea#rd</x:v>
      </x:c>
    </x:row>
    <x:row r="290">
      <x:c r="A290" s="36" t="d">
        <x:v>2025-10-16T00:00:00.000Z</x:v>
      </x:c>
      <x:c r="B290" s="48" t="n">
        <x:v>152.13</x:v>
      </x:c>
      <x:c r="C290" s="48" t="n">
        <x:v>305.16</x:v>
      </x:c>
      <x:c r="D290" s="48" t="n">
        <x:v>189.31</x:v>
      </x:c>
      <x:c r="E290" s="48" t="n">
        <x:v>385.53</x:v>
      </x:c>
      <x:c r="F290" s="48" t="n">
        <x:v>1000</x:v>
      </x:c>
      <x:c r="G290" s="48" t="n">
        <x:v>40</x:v>
      </x:c>
      <x:c r="H290" s="48" t="n">
        <x:v>1000</x:v>
      </x:c>
      <x:c r="I290" s="48" t="n">
        <x:v>40</x:v>
      </x:c>
      <x:c r="J290" s="48" t="n">
        <x:v>1000</x:v>
      </x:c>
      <x:c r="K290" s="48" t="n">
        <x:v>40</x:v>
      </x:c>
      <x:c r="L290" s="48" t="n">
        <x:v>1000</x:v>
      </x:c>
      <x:c r="M290" s="48" t="n">
        <x:v>40</x:v>
      </x:c>
      <x:c r="N290" s="48" t="n">
        <x:v>0.87</x:v>
      </x:c>
      <x:c r="O290" s="48" t="n">
        <x:v>0.17</x:v>
      </x:c>
      <x:c r="P290" s="48" t="n">
        <x:v>0.86</x:v>
      </x:c>
      <x:c r="Q290" s="48" t="n">
        <x:v>0.15</x:v>
      </x:c>
      <x:c r="R290" s="31" t="str">
        <x:v>ok</x:v>
      </x:c>
      <x:c r="S290" s="51" t="n">
        <x:v>0.9762261509895325</x:v>
      </x:c>
      <x:c r="T290" s="31" t="str">
        <x:v>https://mp.weixin.qq.com/s?__biz=MzUxOTMxNjk0OQ==&amp;mid=2247503848&amp;idx=1&amp;sn=22ff651be19c86bfc7c744505b887777&amp;chksm=f9f9fb52ce8e724420df0f9697d6ebdf6bf1ca0760a76b262d03036d329b78788da9f93a909a#rd</x:v>
      </x:c>
    </x:row>
    <x:row r="291">
      <x:c r="A291" s="36" t="d">
        <x:v>2025-10-17T00:00:00.000Z</x:v>
      </x:c>
      <x:c r="B291" s="48" t="n">
        <x:v>175.31</x:v>
      </x:c>
      <x:c r="C291" s="48" t="n">
        <x:v>77.93</x:v>
      </x:c>
      <x:c r="D291" s="48" t="n">
        <x:v>153.1</x:v>
      </x:c>
      <x:c r="E291" s="48" t="n">
        <x:v>135.21</x:v>
      </x:c>
      <x:c r="F291" s="48" t="n">
        <x:v>1000</x:v>
      </x:c>
      <x:c r="G291" s="48" t="n">
        <x:v>40</x:v>
      </x:c>
      <x:c r="H291" s="48" t="n">
        <x:v>1000</x:v>
      </x:c>
      <x:c r="I291" s="48" t="n">
        <x:v>40</x:v>
      </x:c>
      <x:c r="J291" s="48" t="n">
        <x:v>1000</x:v>
      </x:c>
      <x:c r="K291" s="48" t="n">
        <x:v>40</x:v>
      </x:c>
      <x:c r="L291" s="48" t="n">
        <x:v>1000</x:v>
      </x:c>
      <x:c r="M291" s="48" t="n">
        <x:v>40</x:v>
      </x:c>
      <x:c r="N291" s="48" t="n">
        <x:v>0.64</x:v>
      </x:c>
      <x:c r="O291" s="48" t="n">
        <x:v>0.34</x:v>
      </x:c>
      <x:c r="P291" s="48" t="n">
        <x:v>0.61</x:v>
      </x:c>
      <x:c r="Q291" s="48" t="n">
        <x:v>0.36</x:v>
      </x:c>
      <x:c r="R291" s="31" t="str">
        <x:v>ok</x:v>
      </x:c>
      <x:c r="S291" s="51" t="n">
        <x:v>0.9993520379066467</x:v>
      </x:c>
      <x:c r="T291" s="31" t="str">
        <x:v>https://mp.weixin.qq.com/s?__biz=MzUxOTMxNjk0OQ==&amp;mid=2247503852&amp;idx=1&amp;sn=ea38e6108b72796dca7b5aa6820586dc&amp;chksm=f9f9fb56ce8e72401199bc32793c381e1c695838bd8731360b0e2079988c9a421566b4373397#rd</x:v>
      </x:c>
    </x:row>
    <x:row r="292">
      <x:c r="A292" s="36" t="d">
        <x:v>2025-10-18T00:00:00.000Z</x:v>
      </x:c>
      <x:c r="B292" s="48" t="n">
        <x:v>308.4</x:v>
      </x:c>
      <x:c r="C292" s="48" t="n">
        <x:v>78.01</x:v>
      </x:c>
      <x:c r="D292" s="48" t="n">
        <x:v>421.84</x:v>
      </x:c>
      <x:c r="E292" s="48" t="n">
        <x:v>352.39</x:v>
      </x:c>
      <x:c r="F292" s="48" t="n">
        <x:v>1000</x:v>
      </x:c>
      <x:c r="G292" s="48" t="n">
        <x:v>40</x:v>
      </x:c>
      <x:c r="H292" s="48" t="n">
        <x:v>1000</x:v>
      </x:c>
      <x:c r="I292" s="48" t="n">
        <x:v>40</x:v>
      </x:c>
      <x:c r="J292" s="48" t="n">
        <x:v>1000</x:v>
      </x:c>
      <x:c r="K292" s="48" t="n">
        <x:v>40</x:v>
      </x:c>
      <x:c r="L292" s="48" t="n">
        <x:v>1000</x:v>
      </x:c>
      <x:c r="M292" s="48" t="n">
        <x:v>40</x:v>
      </x:c>
      <x:c r="N292" s="48" t="n">
        <x:v>0.5</x:v>
      </x:c>
      <x:c r="O292" s="48" t="n">
        <x:v>0.34</x:v>
      </x:c>
      <x:c r="P292" s="48" t="n">
        <x:v>0.44</x:v>
      </x:c>
      <x:c r="Q292" s="48" t="n">
        <x:v>0.29</x:v>
      </x:c>
      <x:c r="R292" s="31" t="str">
        <x:v>ok</x:v>
      </x:c>
      <x:c r="S292" s="51" t="n">
        <x:v>0.9706667065620422</x:v>
      </x:c>
      <x:c r="T292" s="31" t="str">
        <x:v>https://mp.weixin.qq.com/s?__biz=MzUxOTMxNjk0OQ==&amp;mid=2247503856&amp;idx=1&amp;sn=1beb54a45ca80b7ae2c8fb8635988931&amp;chksm=f9f9fb4ace8e725c4c2e7bfe2c74f390d552e9e2491b2578296513147bd31cfb569eb76c9c65#rd</x:v>
      </x:c>
    </x:row>
    <x:row r="293">
      <x:c r="A293" s="36" t="d">
        <x:v>2025-10-19T00:00:00.000Z</x:v>
      </x:c>
      <x:c r="B293" s="48" t="n">
        <x:v>178.98</x:v>
      </x:c>
      <x:c r="C293" s="48" t="n">
        <x:v>73.14</x:v>
      </x:c>
      <x:c r="D293" s="48" t="n">
        <x:v>213.62</x:v>
      </x:c>
      <x:c r="E293" s="48" t="n">
        <x:v>125.7</x:v>
      </x:c>
      <x:c r="F293" s="48" t="n">
        <x:v>1000</x:v>
      </x:c>
      <x:c r="G293" s="48" t="n">
        <x:v>40</x:v>
      </x:c>
      <x:c r="H293" s="48" t="n">
        <x:v>1000</x:v>
      </x:c>
      <x:c r="I293" s="48" t="n">
        <x:v>40</x:v>
      </x:c>
      <x:c r="J293" s="48" t="n">
        <x:v>1000</x:v>
      </x:c>
      <x:c r="K293" s="48" t="n">
        <x:v>40</x:v>
      </x:c>
      <x:c r="L293" s="48" t="n">
        <x:v>1000</x:v>
      </x:c>
      <x:c r="M293" s="48" t="n">
        <x:v>40</x:v>
      </x:c>
      <x:c r="N293" s="48" t="n">
        <x:v>0.49</x:v>
      </x:c>
      <x:c r="O293" s="48" t="n">
        <x:v>0.41</x:v>
      </x:c>
      <x:c r="P293" s="48" t="n">
        <x:v>0.4</x:v>
      </x:c>
      <x:c r="Q293" s="48" t="n">
        <x:v>0.42</x:v>
      </x:c>
      <x:c r="R293" s="31" t="str">
        <x:v>ok</x:v>
      </x:c>
      <x:c r="S293" s="51" t="n">
        <x:v>0.992380678653717</x:v>
      </x:c>
      <x:c r="T293" s="31" t="str">
        <x:v>https://mp.weixin.qq.com/s?__biz=MzUxOTMxNjk0OQ==&amp;mid=2247503869&amp;idx=3&amp;sn=44326e332e1903fb88e9a612dc0563a7&amp;chksm=f9f9fb47ce8e7251fdded52fcb8ed4635d7e3bd577e7fd51f55dc41a3d04537e0015d2d76cb5#rd</x:v>
      </x:c>
    </x:row>
    <x:row r="294">
      <x:c r="A294" s="36" t="d">
        <x:v>2025-10-20T00:00:00.000Z</x:v>
      </x:c>
      <x:c r="B294" s="48" t="n">
        <x:v>383.45</x:v>
      </x:c>
      <x:c r="C294" s="48" t="n">
        <x:v>238.83</x:v>
      </x:c>
      <x:c r="D294" s="48" t="n">
        <x:v>546.84</x:v>
      </x:c>
      <x:c r="E294" s="48" t="n">
        <x:v>876.95</x:v>
      </x:c>
      <x:c r="F294" s="48" t="n">
        <x:v>1000</x:v>
      </x:c>
      <x:c r="G294" s="48" t="n">
        <x:v>40</x:v>
      </x:c>
      <x:c r="H294" s="48" t="n">
        <x:v>1000</x:v>
      </x:c>
      <x:c r="I294" s="48" t="n">
        <x:v>40</x:v>
      </x:c>
      <x:c r="J294" s="48" t="n">
        <x:v>1000</x:v>
      </x:c>
      <x:c r="K294" s="48" t="n">
        <x:v>40</x:v>
      </x:c>
      <x:c r="L294" s="48" t="n">
        <x:v>1000</x:v>
      </x:c>
      <x:c r="M294" s="48" t="n">
        <x:v>40</x:v>
      </x:c>
      <x:c r="N294" s="48" t="n">
        <x:v>0.41</x:v>
      </x:c>
      <x:c r="O294" s="48" t="n">
        <x:v>0.2</x:v>
      </x:c>
      <x:c r="P294" s="48" t="n">
        <x:v>0.28</x:v>
      </x:c>
      <x:c r="Q294" s="48" t="n">
        <x:v>0.16</x:v>
      </x:c>
      <x:c r="R294" s="31" t="str">
        <x:v>ok</x:v>
      </x:c>
      <x:c r="S294" s="51" t="n">
        <x:v>0.9597356915473938</x:v>
      </x:c>
      <x:c r="T294" s="31" t="str">
        <x:v>https://mp.weixin.qq.com/s?__biz=MzUxOTMxNjk0OQ==&amp;mid=2247503873&amp;idx=1&amp;sn=1165f975fe4290b52f1fcccac3247f86&amp;chksm=f9f9e4bbce8e6dadf2ae9c6a3ad3ea04ce72a5b273d4b66f3e03bf202a70782b76e3f1bd6afb#rd</x:v>
      </x:c>
    </x:row>
    <x:row r="295">
      <x:c r="A295" s="36" t="d">
        <x:v>2025-10-21T00:00:00.000Z</x:v>
      </x:c>
      <x:c r="B295" s="48" t="n">
        <x:v>243.24</x:v>
      </x:c>
      <x:c r="C295" s="48" t="n">
        <x:v>174.94</x:v>
      </x:c>
      <x:c r="D295" s="48" t="n">
        <x:v>255.17</x:v>
      </x:c>
      <x:c r="E295" s="48" t="n">
        <x:v>175.83</x:v>
      </x:c>
      <x:c r="F295" s="48" t="n">
        <x:v>1000</x:v>
      </x:c>
      <x:c r="G295" s="48" t="n">
        <x:v>40</x:v>
      </x:c>
      <x:c r="H295" s="48" t="n">
        <x:v>1000</x:v>
      </x:c>
      <x:c r="I295" s="48" t="n">
        <x:v>40</x:v>
      </x:c>
      <x:c r="J295" s="48" t="n">
        <x:v>1000</x:v>
      </x:c>
      <x:c r="K295" s="48" t="n">
        <x:v>40</x:v>
      </x:c>
      <x:c r="L295" s="48" t="n">
        <x:v>1000</x:v>
      </x:c>
      <x:c r="M295" s="48" t="n">
        <x:v>40</x:v>
      </x:c>
      <x:c r="N295" s="48" t="n">
        <x:v>0.49</x:v>
      </x:c>
      <x:c r="O295" s="48" t="n">
        <x:v>0.24</x:v>
      </x:c>
      <x:c r="P295" s="48" t="n">
        <x:v>0.53</x:v>
      </x:c>
      <x:c r="Q295" s="48" t="n">
        <x:v>0.22</x:v>
      </x:c>
      <x:c r="R295" s="31" t="str">
        <x:v>ok</x:v>
      </x:c>
      <x:c r="S295" s="51" t="n">
        <x:v>0.9998282194137573</x:v>
      </x:c>
      <x:c r="T295" s="31" t="str">
        <x:v>https://mp.weixin.qq.com/s?__biz=MzUxOTMxNjk0OQ==&amp;mid=2247503879&amp;idx=2&amp;sn=2a4b399d19ea74e9571a2ec2918f0d3b&amp;chksm=f9f9e4bdce8e6dab351b3f175a982e8c8bad65fa60b30c1e072104e663cc15912c0e8b1c968f#rd</x:v>
      </x:c>
    </x:row>
    <x:row r="296">
      <x:c r="A296" s="36" t="d">
        <x:v>2025-10-22T00:00:00.000Z</x:v>
      </x:c>
      <x:c r="B296" s="48" t="n">
        <x:v>254.34</x:v>
      </x:c>
      <x:c r="C296" s="48" t="n">
        <x:v>200.38</x:v>
      </x:c>
      <x:c r="D296" s="48" t="n">
        <x:v>305.73</x:v>
      </x:c>
      <x:c r="E296" s="48" t="n">
        <x:v>265.31</x:v>
      </x:c>
      <x:c r="F296" s="48" t="n">
        <x:v>1000</x:v>
      </x:c>
      <x:c r="G296" s="48" t="n">
        <x:v>40</x:v>
      </x:c>
      <x:c r="H296" s="48" t="n">
        <x:v>1000</x:v>
      </x:c>
      <x:c r="I296" s="48" t="n">
        <x:v>40</x:v>
      </x:c>
      <x:c r="J296" s="48" t="n">
        <x:v>1000</x:v>
      </x:c>
      <x:c r="K296" s="48" t="n">
        <x:v>40</x:v>
      </x:c>
      <x:c r="L296" s="48" t="n">
        <x:v>1000</x:v>
      </x:c>
      <x:c r="M296" s="48" t="n">
        <x:v>40</x:v>
      </x:c>
      <x:c r="N296" s="48" t="n">
        <x:v>0.34</x:v>
      </x:c>
      <x:c r="O296" s="48" t="n">
        <x:v>0.25</x:v>
      </x:c>
      <x:c r="P296" s="48" t="n">
        <x:v>0.34</x:v>
      </x:c>
      <x:c r="Q296" s="48" t="n">
        <x:v>0.22</x:v>
      </x:c>
      <x:c r="R296" s="31" t="str">
        <x:v>ok</x:v>
      </x:c>
      <x:c r="S296" s="51" t="n">
        <x:v>0.9999827742576599</x:v>
      </x:c>
      <x:c r="T296" s="31" t="str">
        <x:v>https://mp.weixin.qq.com/s?__biz=MzUxOTMxNjk0OQ==&amp;mid=2247503883&amp;idx=1&amp;sn=a5fb3d7c10d3cb93d521b16238c71dfd&amp;chksm=f9f9e4b1ce8e6da786da9e6bb8e18dfc55931432118a246457e2a2f5ba661fb2f98ec971e2fe#rd</x:v>
      </x:c>
    </x:row>
    <x:row r="297">
      <x:c r="A297" s="36" t="d">
        <x:v>2025-10-23T00:00:00.000Z</x:v>
      </x:c>
      <x:c r="B297" s="48" t="n">
        <x:v>238.43</x:v>
      </x:c>
      <x:c r="C297" s="48" t="n">
        <x:v>102.46</x:v>
      </x:c>
      <x:c r="D297" s="48" t="n">
        <x:v>437.07</x:v>
      </x:c>
      <x:c r="E297" s="48" t="n">
        <x:v>146.68</x:v>
      </x:c>
      <x:c r="F297" s="48" t="n">
        <x:v>1000</x:v>
      </x:c>
      <x:c r="G297" s="48" t="n">
        <x:v>40</x:v>
      </x:c>
      <x:c r="H297" s="48" t="n">
        <x:v>1000</x:v>
      </x:c>
      <x:c r="I297" s="48" t="n">
        <x:v>40</x:v>
      </x:c>
      <x:c r="J297" s="48" t="n">
        <x:v>1000</x:v>
      </x:c>
      <x:c r="K297" s="48" t="n">
        <x:v>40</x:v>
      </x:c>
      <x:c r="L297" s="48" t="n">
        <x:v>1000</x:v>
      </x:c>
      <x:c r="M297" s="48" t="n">
        <x:v>40</x:v>
      </x:c>
      <x:c r="N297" s="48" t="n">
        <x:v>0.25</x:v>
      </x:c>
      <x:c r="O297" s="48" t="n">
        <x:v>0.28</x:v>
      </x:c>
      <x:c r="P297" s="48" t="n">
        <x:v>0.15</x:v>
      </x:c>
      <x:c r="Q297" s="48" t="n">
        <x:v>0.27</x:v>
      </x:c>
      <x:c r="R297" s="31" t="str">
        <x:v>ok</x:v>
      </x:c>
      <x:c r="S297" s="51" t="n">
        <x:v>0.9649437665939331</x:v>
      </x:c>
      <x:c r="T297" s="31" t="str">
        <x:v>https://mp.weixin.qq.com/s?__biz=MzUxOTMxNjk0OQ==&amp;mid=2247503899&amp;idx=1&amp;sn=461df36accbdaf19415a72edc564c0e2&amp;chksm=f9f9e4a1ce8e6db7016025ba798588aca14e85592bf0c4821b098011d8934f0846e6cb730d54#rd</x:v>
      </x:c>
    </x:row>
    <x:row r="298">
      <x:c r="A298" s="36" t="d">
        <x:v>2025-10-24T00:00:00.000Z</x:v>
      </x:c>
      <x:c r="B298" s="48" t="n">
        <x:v>322.24</x:v>
      </x:c>
      <x:c r="C298" s="48" t="n">
        <x:v>155.15</x:v>
      </x:c>
      <x:c r="D298" s="48" t="n">
        <x:v>349.88</x:v>
      </x:c>
      <x:c r="E298" s="48" t="n">
        <x:v>217.74</x:v>
      </x:c>
      <x:c r="F298" s="48" t="n">
        <x:v>1000</x:v>
      </x:c>
      <x:c r="G298" s="48" t="n">
        <x:v>40</x:v>
      </x:c>
      <x:c r="H298" s="48" t="n">
        <x:v>1000</x:v>
      </x:c>
      <x:c r="I298" s="48" t="n">
        <x:v>40</x:v>
      </x:c>
      <x:c r="J298" s="48" t="n">
        <x:v>1000</x:v>
      </x:c>
      <x:c r="K298" s="48" t="n">
        <x:v>40</x:v>
      </x:c>
      <x:c r="L298" s="48" t="n">
        <x:v>1000</x:v>
      </x:c>
      <x:c r="M298" s="48" t="n">
        <x:v>40</x:v>
      </x:c>
      <x:c r="N298" s="48" t="n">
        <x:v>0.26</x:v>
      </x:c>
      <x:c r="O298" s="48" t="n">
        <x:v>0.28</x:v>
      </x:c>
      <x:c r="P298" s="48" t="n">
        <x:v>0.21</x:v>
      </x:c>
      <x:c r="Q298" s="48" t="n">
        <x:v>0.24</x:v>
      </x:c>
      <x:c r="R298" s="31" t="str">
        <x:v>ok</x:v>
      </x:c>
      <x:c r="S298" s="51" t="n">
        <x:v>0.9999287128448486</x:v>
      </x:c>
      <x:c r="T298" s="31" t="str">
        <x:v>https://mp.weixin.qq.com/s?__biz=MzUxOTMxNjk0OQ==&amp;mid=2247503903&amp;idx=1&amp;sn=a23567b5adb2be249abffe85392b749c&amp;chksm=f9f9e4a5ce8e6db3ed214070be855906eb12a188853d3e44367491d005884505c35fcb024678#rd</x:v>
      </x:c>
    </x:row>
    <x:row r="299">
      <x:c r="A299" s="36" t="d">
        <x:v>2025-10-25T00:00:00.000Z</x:v>
      </x:c>
      <x:c r="B299" s="48" t="n">
        <x:v>275.14</x:v>
      </x:c>
      <x:c r="C299" s="48" t="n">
        <x:v>120.25</x:v>
      </x:c>
      <x:c r="D299" s="48" t="n">
        <x:v>285.38</x:v>
      </x:c>
      <x:c r="E299" s="48" t="n">
        <x:v>138.58</x:v>
      </x:c>
      <x:c r="F299" s="48" t="n">
        <x:v>1000</x:v>
      </x:c>
      <x:c r="G299" s="48" t="n">
        <x:v>40</x:v>
      </x:c>
      <x:c r="H299" s="48" t="n">
        <x:v>1000</x:v>
      </x:c>
      <x:c r="I299" s="48" t="n">
        <x:v>40</x:v>
      </x:c>
      <x:c r="J299" s="48" t="n">
        <x:v>1000</x:v>
      </x:c>
      <x:c r="K299" s="48" t="n">
        <x:v>40</x:v>
      </x:c>
      <x:c r="L299" s="48" t="n">
        <x:v>1000</x:v>
      </x:c>
      <x:c r="M299" s="48" t="n">
        <x:v>40</x:v>
      </x:c>
      <x:c r="N299" s="48" t="n">
        <x:v>0.18</x:v>
      </x:c>
      <x:c r="O299" s="48" t="n">
        <x:v>0.36</x:v>
      </x:c>
      <x:c r="P299" s="48" t="n">
        <x:v>0.14</x:v>
      </x:c>
      <x:c r="Q299" s="48" t="n">
        <x:v>0.33</x:v>
      </x:c>
      <x:c r="R299" s="31" t="str">
        <x:v>ok</x:v>
      </x:c>
      <x:c r="S299" s="51" t="n">
        <x:v>0.9268826246261597</x:v>
      </x:c>
      <x:c r="T299" s="31" t="str">
        <x:v>https://mp.weixin.qq.com/s?__biz=MzUxOTMxNjk0OQ==&amp;mid=2247503907&amp;idx=1&amp;sn=27392e1baf6580f37b92d36b4a98127f&amp;chksm=f9f9e499ce8e6d8f19ba28bd65511e6cf41ae4dcb5b4997f67e0571aaea954262c907e8e69a3#rd</x:v>
      </x:c>
    </x:row>
    <x:row r="300">
      <x:c r="A300" s="36" t="d">
        <x:v>2025-10-26T00:00:00.000Z</x:v>
      </x:c>
      <x:c r="B300" s="48" t="n">
        <x:v>267.79</x:v>
      </x:c>
      <x:c r="C300" s="48" t="n">
        <x:v>81.74</x:v>
      </x:c>
      <x:c r="D300" s="48" t="n">
        <x:v>235.87</x:v>
      </x:c>
      <x:c r="E300" s="48" t="n">
        <x:v>90.18</x:v>
      </x:c>
      <x:c r="F300" s="48" t="n">
        <x:v>1000</x:v>
      </x:c>
      <x:c r="G300" s="48" t="n">
        <x:v>40</x:v>
      </x:c>
      <x:c r="H300" s="48" t="n">
        <x:v>1000</x:v>
      </x:c>
      <x:c r="I300" s="48" t="n">
        <x:v>40</x:v>
      </x:c>
      <x:c r="J300" s="48" t="n">
        <x:v>1000</x:v>
      </x:c>
      <x:c r="K300" s="48" t="n">
        <x:v>40</x:v>
      </x:c>
      <x:c r="L300" s="48" t="n">
        <x:v>1000</x:v>
      </x:c>
      <x:c r="M300" s="48" t="n">
        <x:v>40</x:v>
      </x:c>
      <x:c r="N300" s="48" t="n">
        <x:v>0.24</x:v>
      </x:c>
      <x:c r="O300" s="48" t="n">
        <x:v>0.48</x:v>
      </x:c>
      <x:c r="P300" s="48" t="n">
        <x:v>0.19</x:v>
      </x:c>
      <x:c r="Q300" s="48" t="n">
        <x:v>0.39</x:v>
      </x:c>
      <x:c r="R300" s="31" t="str">
        <x:v>ok</x:v>
      </x:c>
      <x:c r="S300" s="51" t="n">
        <x:v>0.9999850392341614</x:v>
      </x:c>
      <x:c r="T300" s="31" t="str">
        <x:v>https://mp.weixin.qq.com/s?__biz=MzUxOTMxNjk0OQ==&amp;mid=2247503932&amp;idx=1&amp;sn=9b1e181c088b08ae561cec69c7f69f66&amp;chksm=f9f9e486ce8e6d90baba392fa6938a30c9b5efb45aab692f454997d7a1459ed27cf435a0abec#rd</x:v>
      </x:c>
    </x:row>
    <x:row r="301">
      <x:c r="A301" s="36" t="d">
        <x:v>2025-10-27T00:00:00.000Z</x:v>
      </x:c>
      <x:c r="B301" s="48" t="n">
        <x:v>158.58</x:v>
      </x:c>
      <x:c r="C301" s="48" t="n">
        <x:v>60.5</x:v>
      </x:c>
      <x:c r="D301" s="48" t="n">
        <x:v>163.51</x:v>
      </x:c>
      <x:c r="E301" s="48" t="n">
        <x:v>85.9</x:v>
      </x:c>
      <x:c r="F301" s="48" t="n">
        <x:v>428</x:v>
      </x:c>
      <x:c r="G301" s="48" t="n">
        <x:v>40</x:v>
      </x:c>
      <x:c r="H301" s="48" t="n">
        <x:v>428</x:v>
      </x:c>
      <x:c r="I301" s="48" t="n">
        <x:v>40</x:v>
      </x:c>
      <x:c r="J301" s="48" t="n">
        <x:v>1000</x:v>
      </x:c>
      <x:c r="K301" s="48" t="n">
        <x:v>40</x:v>
      </x:c>
      <x:c r="L301" s="48" t="n">
        <x:v>1000</x:v>
      </x:c>
      <x:c r="M301" s="48" t="n">
        <x:v>40</x:v>
      </x:c>
      <x:c r="N301" s="48" t="n">
        <x:v>0.43</x:v>
      </x:c>
      <x:c r="O301" s="48" t="n">
        <x:v>0.45</x:v>
      </x:c>
      <x:c r="P301" s="48" t="n">
        <x:v>0.36</x:v>
      </x:c>
      <x:c r="Q301" s="48" t="n">
        <x:v>0.48</x:v>
      </x:c>
      <x:c r="R301" s="31" t="str">
        <x:v>ok</x:v>
      </x:c>
      <x:c r="S301" s="51" t="n">
        <x:v>0.9999603033065796</x:v>
      </x:c>
      <x:c r="T301" s="31" t="str">
        <x:v>https://mp.weixin.qq.com/s?__biz=MzUxOTMxNjk0OQ==&amp;mid=2247503949&amp;idx=1&amp;sn=183fa080f30842c00ba3763f8ef5dc4b&amp;chksm=f9f9e4f7ce8e6de1b10abef1cb1604eabb95c3d91de05d2ec37d3472907e9e278f64d0054493#rd</x:v>
      </x:c>
    </x:row>
    <x:row r="302">
      <x:c r="A302" s="36" t="d">
        <x:v>2025-10-28T00:00:00.000Z</x:v>
      </x:c>
      <x:c r="B302" s="48" t="n">
        <x:v>182.34</x:v>
      </x:c>
      <x:c r="C302" s="48" t="n">
        <x:v>64.99</x:v>
      </x:c>
      <x:c r="D302" s="48" t="n">
        <x:v>269.27</x:v>
      </x:c>
      <x:c r="E302" s="48" t="n">
        <x:v>70.8</x:v>
      </x:c>
      <x:c r="F302" s="48" t="n">
        <x:v>1000</x:v>
      </x:c>
      <x:c r="G302" s="48" t="n">
        <x:v>40</x:v>
      </x:c>
      <x:c r="H302" s="48" t="n">
        <x:v>1000</x:v>
      </x:c>
      <x:c r="I302" s="48" t="n">
        <x:v>40</x:v>
      </x:c>
      <x:c r="J302" s="48" t="n">
        <x:v>1000</x:v>
      </x:c>
      <x:c r="K302" s="48" t="n">
        <x:v>40</x:v>
      </x:c>
      <x:c r="L302" s="48" t="n">
        <x:v>1000</x:v>
      </x:c>
      <x:c r="M302" s="48" t="n">
        <x:v>40</x:v>
      </x:c>
      <x:c r="N302" s="48" t="n">
        <x:v>0.36</x:v>
      </x:c>
      <x:c r="O302" s="48" t="n">
        <x:v>0.45</x:v>
      </x:c>
      <x:c r="P302" s="48" t="n">
        <x:v>0.27</x:v>
      </x:c>
      <x:c r="Q302" s="48" t="n">
        <x:v>0.43</x:v>
      </x:c>
      <x:c r="R302" s="31" t="str">
        <x:v>ok</x:v>
      </x:c>
      <x:c r="S302" s="51" t="n">
        <x:v>0.9758121967315674</x:v>
      </x:c>
      <x:c r="T302" s="31" t="str">
        <x:v>https://mp.weixin.qq.com/s?__biz=MzUxOTMxNjk0OQ==&amp;mid=2247503961&amp;idx=1&amp;sn=b02fc5fe4e7b7ed89a311269fdca9cd4&amp;chksm=f9f9e4e3ce8e6df562765a1a46c900df2629a687e5ddfc2871ae63eb03e2911ce5eab16034f8#rd</x:v>
      </x:c>
    </x:row>
    <x:row r="303">
      <x:c r="A303" s="36" t="d">
        <x:v>2025-10-29T00:00:00.000Z</x:v>
      </x:c>
      <x:c r="B303" s="48" t="n">
        <x:v>113.76</x:v>
      </x:c>
      <x:c r="C303" s="48" t="n">
        <x:v>81.22</x:v>
      </x:c>
      <x:c r="D303" s="48" t="n">
        <x:v>147.17</x:v>
      </x:c>
      <x:c r="E303" s="48" t="n">
        <x:v>174.58</x:v>
      </x:c>
      <x:c r="F303" s="48" t="n">
        <x:v>1000</x:v>
      </x:c>
      <x:c r="G303" s="48" t="n">
        <x:v>40</x:v>
      </x:c>
      <x:c r="H303" s="48" t="n">
        <x:v>1000</x:v>
      </x:c>
      <x:c r="I303" s="48" t="n">
        <x:v>40</x:v>
      </x:c>
      <x:c r="J303" s="48" t="n">
        <x:v>1000</x:v>
      </x:c>
      <x:c r="K303" s="48" t="n">
        <x:v>40</x:v>
      </x:c>
      <x:c r="L303" s="48" t="n">
        <x:v>1000</x:v>
      </x:c>
      <x:c r="M303" s="48" t="n">
        <x:v>40</x:v>
      </x:c>
      <x:c r="N303" s="48" t="n">
        <x:v>0.49</x:v>
      </x:c>
      <x:c r="O303" s="48" t="n">
        <x:v>0.45</x:v>
      </x:c>
      <x:c r="P303" s="48" t="n">
        <x:v>0.44</x:v>
      </x:c>
      <x:c r="Q303" s="48" t="n">
        <x:v>0.43</x:v>
      </x:c>
      <x:c r="R303" s="31" t="str">
        <x:v>ok</x:v>
      </x:c>
      <x:c r="S303" s="51" t="n">
        <x:v>0.9999774694442749</x:v>
      </x:c>
      <x:c r="T303" s="31" t="str">
        <x:v>https://mp.weixin.qq.com/s?__biz=MzUxOTMxNjk0OQ==&amp;mid=2247503971&amp;idx=1&amp;sn=a72d99f8930fc1f2bf130502808a7fb9&amp;chksm=f9f9e4d9ce8e6dcfc12ff44055c561321e33e4d36f7e6a37a2a18e0281b8b2f228977ddcae30#rd</x:v>
      </x:c>
    </x:row>
    <x:row r="304">
      <x:c r="A304" s="36" t="d">
        <x:v>2025-10-30T00:00:00.000Z</x:v>
      </x:c>
      <x:c r="B304" s="48" t="n">
        <x:v>251.75</x:v>
      </x:c>
      <x:c r="C304" s="48" t="n">
        <x:v>68.74</x:v>
      </x:c>
      <x:c r="D304" s="48" t="n">
        <x:v>253.34</x:v>
      </x:c>
      <x:c r="E304" s="48" t="n">
        <x:v>103.69</x:v>
      </x:c>
      <x:c r="F304" s="48" t="n">
        <x:v>480</x:v>
      </x:c>
      <x:c r="G304" s="48" t="n">
        <x:v>40</x:v>
      </x:c>
      <x:c r="H304" s="48" t="n">
        <x:v>480</x:v>
      </x:c>
      <x:c r="I304" s="48" t="n">
        <x:v>40</x:v>
      </x:c>
      <x:c r="J304" s="48" t="n">
        <x:v>570.95</x:v>
      </x:c>
      <x:c r="K304" s="48" t="n">
        <x:v>40</x:v>
      </x:c>
      <x:c r="L304" s="48" t="n">
        <x:v>460</x:v>
      </x:c>
      <x:c r="M304" s="48" t="n">
        <x:v>40</x:v>
      </x:c>
      <x:c r="N304" s="48" t="n">
        <x:v>0.27</x:v>
      </x:c>
      <x:c r="O304" s="48" t="n">
        <x:v>0.53</x:v>
      </x:c>
      <x:c r="P304" s="48" t="n">
        <x:v>0.23</x:v>
      </x:c>
      <x:c r="Q304" s="48" t="n">
        <x:v>0.5</x:v>
      </x:c>
      <x:c r="R304" s="31" t="str">
        <x:v>ok</x:v>
      </x:c>
      <x:c r="S304" s="51" t="n">
        <x:v>0.9999942779541016</x:v>
      </x:c>
      <x:c r="T304" s="31" t="str">
        <x:v>https://mp.weixin.qq.com/s?__biz=MzUxOTMxNjk0OQ==&amp;mid=2247503975&amp;idx=1&amp;sn=efe6769d4677009f7965e2cd75eec813&amp;chksm=f9f9e4ddce8e6dcbac02dcaa61c3654cc8362d31315d8fc4187984bf3535222f9a8160fbafaf#rd</x:v>
      </x:c>
    </x:row>
    <x:row r="305">
      <x:c r="A305" s="36" t="d">
        <x:v>2025-10-31T00:00:00.000Z</x:v>
      </x:c>
      <x:c r="B305" s="48" t="n">
        <x:v>242.86</x:v>
      </x:c>
      <x:c r="C305" s="48" t="n">
        <x:v>52.29</x:v>
      </x:c>
      <x:c r="D305" s="48" t="n">
        <x:v>253.27</x:v>
      </x:c>
      <x:c r="E305" s="48" t="n">
        <x:v>64.41</x:v>
      </x:c>
      <x:c r="F305" s="48" t="n">
        <x:v>1000</x:v>
      </x:c>
      <x:c r="G305" s="48" t="n">
        <x:v>40</x:v>
      </x:c>
      <x:c r="H305" s="48" t="n">
        <x:v>1000</x:v>
      </x:c>
      <x:c r="I305" s="48" t="n">
        <x:v>40</x:v>
      </x:c>
      <x:c r="J305" s="48" t="n">
        <x:v>1000</x:v>
      </x:c>
      <x:c r="K305" s="48" t="n">
        <x:v>40</x:v>
      </x:c>
      <x:c r="L305" s="48" t="n">
        <x:v>1000</x:v>
      </x:c>
      <x:c r="M305" s="48" t="n">
        <x:v>40</x:v>
      </x:c>
      <x:c r="N305" s="48" t="n">
        <x:v>0.36</x:v>
      </x:c>
      <x:c r="O305" s="48" t="n">
        <x:v>0.46</x:v>
      </x:c>
      <x:c r="P305" s="48" t="n">
        <x:v>0.35</x:v>
      </x:c>
      <x:c r="Q305" s="48" t="n">
        <x:v>0.47</x:v>
      </x:c>
      <x:c r="R305" s="31" t="str">
        <x:v>ok</x:v>
      </x:c>
      <x:c r="S305" s="51" t="n">
        <x:v>0.999982476234436</x:v>
      </x:c>
      <x:c r="T305" s="31" t="str">
        <x:v>https://mp.weixin.qq.com/s?__biz=MzUxOTMxNjk0OQ==&amp;mid=2247503979&amp;idx=1&amp;sn=7f3731ab36bed880e1064314c7307a3b&amp;chksm=f9f9e4d1ce8e6dc755e3707fd8b29be5e15579ead36bbc3057227fc28268c535b5051a0923b9#rd</x:v>
      </x:c>
    </x:row>
    <x:row r="306">
      <x:c r="A306" s="36" t="d">
        <x:v>2025-11-01T00:00:00.000Z</x:v>
      </x:c>
      <x:c r="B306" s="48" t="n">
        <x:v>228.71</x:v>
      </x:c>
      <x:c r="C306" s="48" t="n">
        <x:v>54.58</x:v>
      </x:c>
      <x:c r="D306" s="48" t="n">
        <x:v>280.6</x:v>
      </x:c>
      <x:c r="E306" s="48" t="n">
        <x:v>60.48</x:v>
      </x:c>
      <x:c r="F306" s="48" t="n">
        <x:v>460</x:v>
      </x:c>
      <x:c r="G306" s="48" t="n">
        <x:v>40</x:v>
      </x:c>
      <x:c r="H306" s="48" t="n">
        <x:v>460</x:v>
      </x:c>
      <x:c r="I306" s="48" t="n">
        <x:v>40</x:v>
      </x:c>
      <x:c r="J306" s="48" t="n">
        <x:v>510</x:v>
      </x:c>
      <x:c r="K306" s="48" t="n">
        <x:v>40</x:v>
      </x:c>
      <x:c r="L306" s="48" t="n">
        <x:v>510</x:v>
      </x:c>
      <x:c r="M306" s="48" t="n">
        <x:v>40</x:v>
      </x:c>
      <x:c r="N306" s="48" t="n">
        <x:v>0.23</x:v>
      </x:c>
      <x:c r="O306" s="48" t="n">
        <x:v>0.47</x:v>
      </x:c>
      <x:c r="P306" s="48" t="n">
        <x:v>0.18</x:v>
      </x:c>
      <x:c r="Q306" s="48" t="n">
        <x:v>0.48</x:v>
      </x:c>
      <x:c r="R306" s="31" t="str">
        <x:v>ok</x:v>
      </x:c>
      <x:c r="S306" s="51" t="n">
        <x:v>0.9999961853027344</x:v>
      </x:c>
      <x:c r="T306" s="31" t="str">
        <x:v>https://mp.weixin.qq.com/s?__biz=MzUxOTMxNjk0OQ==&amp;mid=2247503983&amp;idx=1&amp;sn=786f89e83220d81a56c9989584dde75f&amp;chksm=f9f9e4d5ce8e6dc3cf32b33f27f2c1f80299b72c5704c986da1a688404615ce8a125aaa9eb92#rd</x:v>
      </x:c>
    </x:row>
    <x:row r="307">
      <x:c r="A307" s="36" t="d">
        <x:v>2025-11-02T00:00:00.000Z</x:v>
      </x:c>
      <x:c r="B307" s="48" t="n">
        <x:v>142.19</x:v>
      </x:c>
      <x:c r="C307" s="48" t="n">
        <x:v>56.47</x:v>
      </x:c>
      <x:c r="D307" s="48" t="n">
        <x:v>180.38</x:v>
      </x:c>
      <x:c r="E307" s="48" t="n">
        <x:v>74.86</x:v>
      </x:c>
      <x:c r="F307" s="48" t="n">
        <x:v>1000</x:v>
      </x:c>
      <x:c r="G307" s="48" t="n">
        <x:v>40</x:v>
      </x:c>
      <x:c r="H307" s="48" t="n">
        <x:v>1000</x:v>
      </x:c>
      <x:c r="I307" s="48" t="n">
        <x:v>40</x:v>
      </x:c>
      <x:c r="J307" s="48" t="n">
        <x:v>1000</x:v>
      </x:c>
      <x:c r="K307" s="48" t="n">
        <x:v>40</x:v>
      </x:c>
      <x:c r="L307" s="48" t="n">
        <x:v>1000</x:v>
      </x:c>
      <x:c r="M307" s="48" t="n">
        <x:v>40</x:v>
      </x:c>
      <x:c r="N307" s="48" t="n">
        <x:v>0.31</x:v>
      </x:c>
      <x:c r="O307" s="48" t="n">
        <x:v>0.41</x:v>
      </x:c>
      <x:c r="P307" s="48" t="n">
        <x:v>0.3</x:v>
      </x:c>
      <x:c r="Q307" s="48" t="n">
        <x:v>0.43</x:v>
      </x:c>
      <x:c r="R307" s="31" t="str">
        <x:v>ok</x:v>
      </x:c>
      <x:c r="S307" s="51" t="n">
        <x:v>0.9999802112579346</x:v>
      </x:c>
      <x:c r="T307" s="31" t="str">
        <x:v>https://mp.weixin.qq.com/s?__biz=MzUxOTMxNjk0OQ==&amp;mid=2247504013&amp;idx=1&amp;sn=1b220d49f86d40a73bc55a4c7f38f9c2&amp;chksm=f9f9e437ce8e6d21f100ce842c7dd80ff0fa3665b3ba85a1f57e8e4ecfb132f02d91a779ced1#rd</x:v>
      </x:c>
    </x:row>
    <x:row r="308">
      <x:c r="A308" s="36" t="d">
        <x:v>2025-11-03T00:00:00.000Z</x:v>
      </x:c>
      <x:c r="B308" s="48" t="n">
        <x:v>111.18</x:v>
      </x:c>
      <x:c r="C308" s="48" t="n">
        <x:v>50.98</x:v>
      </x:c>
      <x:c r="D308" s="48" t="n">
        <x:v>99.19</x:v>
      </x:c>
      <x:c r="E308" s="48" t="n">
        <x:v>63.95</x:v>
      </x:c>
      <x:c r="F308" s="48" t="n">
        <x:v>460</x:v>
      </x:c>
      <x:c r="G308" s="48" t="n">
        <x:v>40</x:v>
      </x:c>
      <x:c r="H308" s="48" t="n">
        <x:v>460</x:v>
      </x:c>
      <x:c r="I308" s="48" t="n">
        <x:v>40</x:v>
      </x:c>
      <x:c r="J308" s="48" t="n">
        <x:v>480</x:v>
      </x:c>
      <x:c r="K308" s="48" t="n">
        <x:v>40</x:v>
      </x:c>
      <x:c r="L308" s="48" t="n">
        <x:v>486.11</x:v>
      </x:c>
      <x:c r="M308" s="48" t="n">
        <x:v>40</x:v>
      </x:c>
      <x:c r="N308" s="48" t="n">
        <x:v>0.66</x:v>
      </x:c>
      <x:c r="O308" s="48" t="n">
        <x:v>0.48</x:v>
      </x:c>
      <x:c r="P308" s="48" t="n">
        <x:v>0.69</x:v>
      </x:c>
      <x:c r="Q308" s="48" t="n">
        <x:v>0.52</x:v>
      </x:c>
      <x:c r="R308" s="31" t="str">
        <x:v>ok</x:v>
      </x:c>
      <x:c r="S308" s="51" t="n">
        <x:v>0.9999816417694092</x:v>
      </x:c>
      <x:c r="T308" s="31" t="str">
        <x:v>https://mp.weixin.qq.com/s?__biz=MzUxOTMxNjk0OQ==&amp;mid=2247504026&amp;idx=1&amp;sn=f23bcd5ffd88d3ee030b67d7b6ba05d6&amp;chksm=f9f9e420ce8e6d3691ec2fcb6b827c34a5a07d7c3f3f85c50f20870a140dd41d9c3dcede6c2c#rd</x:v>
      </x:c>
    </x:row>
    <x:row r="309">
      <x:c r="A309" s="36" t="d">
        <x:v>2025-11-04T00:00:00.000Z</x:v>
      </x:c>
      <x:c r="B309" s="48" t="n">
        <x:v>71.82</x:v>
      </x:c>
      <x:c r="C309" s="48" t="n">
        <x:v>45.58</x:v>
      </x:c>
      <x:c r="D309" s="48" t="n">
        <x:v>88.63</x:v>
      </x:c>
      <x:c r="E309" s="48" t="n">
        <x:v>45.56</x:v>
      </x:c>
      <x:c r="F309" s="48" t="n">
        <x:v>368</x:v>
      </x:c>
      <x:c r="G309" s="48" t="n">
        <x:v>40</x:v>
      </x:c>
      <x:c r="H309" s="48" t="n">
        <x:v>1000</x:v>
      </x:c>
      <x:c r="I309" s="48" t="n">
        <x:v>40</x:v>
      </x:c>
      <x:c r="J309" s="48" t="n">
        <x:v>367</x:v>
      </x:c>
      <x:c r="K309" s="48" t="n">
        <x:v>40</x:v>
      </x:c>
      <x:c r="L309" s="48" t="n">
        <x:v>1000</x:v>
      </x:c>
      <x:c r="M309" s="48" t="n">
        <x:v>40</x:v>
      </x:c>
      <x:c r="N309" s="48" t="n">
        <x:v>0.83</x:v>
      </x:c>
      <x:c r="O309" s="48" t="n">
        <x:v>0.37</x:v>
      </x:c>
      <x:c r="P309" s="48" t="n">
        <x:v>0.85</x:v>
      </x:c>
      <x:c r="Q309" s="48" t="n">
        <x:v>0.39</x:v>
      </x:c>
      <x:c r="R309" s="31" t="str">
        <x:v>ok</x:v>
      </x:c>
      <x:c r="S309" s="51" t="n">
        <x:v>0.9999842047691345</x:v>
      </x:c>
      <x:c r="T309" s="31" t="str">
        <x:v>https://mp.weixin.qq.com/s?__biz=MzUxOTMxNjk0OQ==&amp;mid=2247504062&amp;idx=1&amp;sn=5fe0ee80c1f1783969dc72f1975b9f0f&amp;chksm=f9f9e404ce8e6d12d34f6c3e993b39b2b6b203dc7af2be4125a05b94c1140ba03cd42c8586c5#rd</x:v>
      </x:c>
    </x:row>
    <x:row r="310">
      <x:c r="A310" s="36" t="d">
        <x:v>2025-11-05T00:00:00.000Z</x:v>
      </x:c>
      <x:c r="B310" s="48" t="n">
        <x:v>91.21</x:v>
      </x:c>
      <x:c r="C310" s="48" t="n">
        <x:v>55.11</x:v>
      </x:c>
      <x:c r="D310" s="48" t="n">
        <x:v>170.07</x:v>
      </x:c>
      <x:c r="E310" s="48" t="n">
        <x:v>171.43</x:v>
      </x:c>
      <x:c r="F310" s="48" t="n">
        <x:v>1000</x:v>
      </x:c>
      <x:c r="G310" s="48" t="n">
        <x:v>40</x:v>
      </x:c>
      <x:c r="H310" s="48" t="n">
        <x:v>1000</x:v>
      </x:c>
      <x:c r="I310" s="48" t="n">
        <x:v>40</x:v>
      </x:c>
      <x:c r="J310" s="48" t="n">
        <x:v>400</x:v>
      </x:c>
      <x:c r="K310" s="48" t="n">
        <x:v>40</x:v>
      </x:c>
      <x:c r="L310" s="48" t="n">
        <x:v>400</x:v>
      </x:c>
      <x:c r="M310" s="48" t="n">
        <x:v>40</x:v>
      </x:c>
      <x:c r="N310" s="48" t="n">
        <x:v>0.99</x:v>
      </x:c>
      <x:c r="O310" s="48" t="n">
        <x:v>0.27</x:v>
      </x:c>
      <x:c r="P310" s="48" t="n">
        <x:v>0.84</x:v>
      </x:c>
      <x:c r="Q310" s="48" t="n">
        <x:v>0.25</x:v>
      </x:c>
      <x:c r="R310" s="31" t="str">
        <x:v>ok</x:v>
      </x:c>
      <x:c r="S310" s="51" t="n">
        <x:v>0.9999845027923584</x:v>
      </x:c>
      <x:c r="T310" s="31" t="str">
        <x:v>https://mp.weixin.qq.com/s?__biz=MzUxOTMxNjk0OQ==&amp;mid=2247504076&amp;idx=1&amp;sn=e523e0de00b0aee46271796a62d91fe9&amp;chksm=f9f9e476ce8e6d60233370bf03a0a411e030cb7ffe3ed5d433e53b326c69709c31b8dc8b35dc#rd</x:v>
      </x:c>
    </x:row>
    <x:row r="311">
      <x:c r="A311" s="36" t="d">
        <x:v>2025-11-06T00:00:00.000Z</x:v>
      </x:c>
      <x:c r="B311" s="48" t="n">
        <x:v>74.36</x:v>
      </x:c>
      <x:c r="C311" s="48" t="n">
        <x:v>133.48</x:v>
      </x:c>
      <x:c r="D311" s="48" t="n">
        <x:v>92.71</x:v>
      </x:c>
      <x:c r="E311" s="48" t="n">
        <x:v>178.85</x:v>
      </x:c>
      <x:c r="F311" s="48" t="n">
        <x:v>254.84</x:v>
      </x:c>
      <x:c r="G311" s="48" t="n">
        <x:v>40</x:v>
      </x:c>
      <x:c r="H311" s="48" t="n">
        <x:v>1000</x:v>
      </x:c>
      <x:c r="I311" s="48" t="n">
        <x:v>40</x:v>
      </x:c>
      <x:c r="J311" s="48" t="n">
        <x:v>320</x:v>
      </x:c>
      <x:c r="K311" s="48" t="n">
        <x:v>40</x:v>
      </x:c>
      <x:c r="L311" s="48" t="n">
        <x:v>320</x:v>
      </x:c>
      <x:c r="M311" s="48" t="n">
        <x:v>40</x:v>
      </x:c>
      <x:c r="N311" s="48" t="n">
        <x:v>1.05</x:v>
      </x:c>
      <x:c r="O311" s="48" t="n">
        <x:v>0.13</x:v>
      </x:c>
      <x:c r="P311" s="48" t="n">
        <x:v>1.06</x:v>
      </x:c>
      <x:c r="Q311" s="48" t="n">
        <x:v>0.11</x:v>
      </x:c>
      <x:c r="R311" s="31" t="str">
        <x:v>ok</x:v>
      </x:c>
      <x:c r="S311" s="51" t="n">
        <x:v>0.9960306286811829</x:v>
      </x:c>
      <x:c r="T311" s="31" t="str">
        <x:v>https://mp.weixin.qq.com/s?__biz=MzUxOTMxNjk0OQ==&amp;mid=2247504107&amp;idx=1&amp;sn=91aaaf231d35db523f4b66ca717dc732&amp;chksm=f9f9e451ce8e6d47caeb4cd9a48970d26687bbc8c5a33c2ad5933df58c68f809375c040a706d#rd</x:v>
      </x:c>
    </x:row>
    <x:row r="312">
      <x:c r="A312" s="36" t="d">
        <x:v>2025-11-07T00:00:00.000Z</x:v>
      </x:c>
      <x:c r="B312" s="48" t="n">
        <x:v>153.44</x:v>
      </x:c>
      <x:c r="C312" s="48" t="n">
        <x:v>230.88</x:v>
      </x:c>
      <x:c r="D312" s="48" t="n">
        <x:v>195.96</x:v>
      </x:c>
      <x:c r="E312" s="48" t="n">
        <x:v>261.62</x:v>
      </x:c>
      <x:c r="F312" s="48" t="n">
        <x:v>510</x:v>
      </x:c>
      <x:c r="G312" s="48" t="n">
        <x:v>40</x:v>
      </x:c>
      <x:c r="H312" s="48" t="n">
        <x:v>510</x:v>
      </x:c>
      <x:c r="I312" s="48" t="n">
        <x:v>40</x:v>
      </x:c>
      <x:c r="J312" s="48" t="n">
        <x:v>1000</x:v>
      </x:c>
      <x:c r="K312" s="48" t="n">
        <x:v>40</x:v>
      </x:c>
      <x:c r="L312" s="48" t="n">
        <x:v>1000</x:v>
      </x:c>
      <x:c r="M312" s="48" t="n">
        <x:v>40</x:v>
      </x:c>
      <x:c r="N312" s="48" t="n">
        <x:v>0.54</x:v>
      </x:c>
      <x:c r="O312" s="48" t="n">
        <x:v>0.13</x:v>
      </x:c>
      <x:c r="P312" s="48" t="n">
        <x:v>0.52</x:v>
      </x:c>
      <x:c r="Q312" s="48" t="n">
        <x:v>0.13</x:v>
      </x:c>
      <x:c r="R312" s="31" t="str">
        <x:v>ok</x:v>
      </x:c>
      <x:c r="S312" s="51" t="n">
        <x:v>0.9999877214431763</x:v>
      </x:c>
      <x:c r="T312" s="31" t="str">
        <x:v>https://mp.weixin.qq.com/s?__biz=MzUxOTMxNjk0OQ==&amp;mid=2247504111&amp;idx=1&amp;sn=fa281458b649ec69aa0c3ae9dd8c16e4&amp;chksm=f9f9e455ce8e6d43749793cab058a453c606624d070d79f8247fe0ecb96a96480ea24921b3c7#rd</x:v>
      </x:c>
    </x:row>
    <x:row r="313">
      <x:c r="A313" s="36" t="d">
        <x:v>2025-11-08T00:00:00.000Z</x:v>
      </x:c>
      <x:c r="B313" s="48" t="n">
        <x:v>171.67</x:v>
      </x:c>
      <x:c r="C313" s="48" t="n">
        <x:v>46.1</x:v>
      </x:c>
      <x:c r="D313" s="48" t="n">
        <x:v>170.82</x:v>
      </x:c>
      <x:c r="E313" s="48" t="n">
        <x:v>60.33</x:v>
      </x:c>
      <x:c r="F313" s="48" t="n">
        <x:v>800</x:v>
      </x:c>
      <x:c r="G313" s="48" t="n">
        <x:v>40</x:v>
      </x:c>
      <x:c r="H313" s="48" t="n">
        <x:v>800</x:v>
      </x:c>
      <x:c r="I313" s="48" t="n">
        <x:v>40</x:v>
      </x:c>
      <x:c r="J313" s="48" t="n">
        <x:v>800</x:v>
      </x:c>
      <x:c r="K313" s="48" t="n">
        <x:v>40</x:v>
      </x:c>
      <x:c r="L313" s="48" t="n">
        <x:v>800</x:v>
      </x:c>
      <x:c r="M313" s="48" t="n">
        <x:v>40</x:v>
      </x:c>
      <x:c r="N313" s="48" t="n">
        <x:v>0.43</x:v>
      </x:c>
      <x:c r="O313" s="48" t="n">
        <x:v>0.42</x:v>
      </x:c>
      <x:c r="P313" s="48" t="n">
        <x:v>0.36</x:v>
      </x:c>
      <x:c r="Q313" s="48" t="n">
        <x:v>0.4</x:v>
      </x:c>
      <x:c r="R313" s="31" t="str">
        <x:v>ok</x:v>
      </x:c>
      <x:c r="S313" s="51" t="n">
        <x:v>0.9995401501655579</x:v>
      </x:c>
      <x:c r="T313" s="31" t="str">
        <x:v>https://mp.weixin.qq.com/s?__biz=MzUxOTMxNjk0OQ==&amp;mid=2247504115&amp;idx=1&amp;sn=e6fe542f4d526352b78ef2e4627577fa&amp;chksm=f9f9e449ce8e6d5fa9a6aa04c185495ca8ad6732df5e8eb2b35f9d3df285ebec8e31675b9e79#rd</x:v>
      </x:c>
    </x:row>
    <x:row r="314">
      <x:c r="A314" s="36" t="d">
        <x:v>2025-11-09T00:00:00.000Z</x:v>
      </x:c>
      <x:c r="B314" s="48" t="n">
        <x:v>221.11</x:v>
      </x:c>
      <x:c r="C314" s="48" t="n">
        <x:v>55.24</x:v>
      </x:c>
      <x:c r="D314" s="48" t="n">
        <x:v>225.28</x:v>
      </x:c>
      <x:c r="E314" s="48" t="n">
        <x:v>55.43</x:v>
      </x:c>
      <x:c r="F314" s="48" t="n">
        <x:v>600</x:v>
      </x:c>
      <x:c r="G314" s="48" t="n">
        <x:v>40</x:v>
      </x:c>
      <x:c r="H314" s="48" t="n">
        <x:v>600</x:v>
      </x:c>
      <x:c r="I314" s="48" t="n">
        <x:v>40</x:v>
      </x:c>
      <x:c r="J314" s="48" t="n">
        <x:v>600</x:v>
      </x:c>
      <x:c r="K314" s="48" t="n">
        <x:v>40</x:v>
      </x:c>
      <x:c r="L314" s="48" t="n">
        <x:v>600</x:v>
      </x:c>
      <x:c r="M314" s="48" t="n">
        <x:v>40</x:v>
      </x:c>
      <x:c r="N314" s="48" t="n">
        <x:v>0.24</x:v>
      </x:c>
      <x:c r="O314" s="48" t="n">
        <x:v>0.4</x:v>
      </x:c>
      <x:c r="P314" s="48" t="n">
        <x:v>0.18</x:v>
      </x:c>
      <x:c r="Q314" s="48" t="n">
        <x:v>0.39</x:v>
      </x:c>
      <x:c r="R314" s="31" t="str">
        <x:v>ok</x:v>
      </x:c>
      <x:c r="S314" s="51" t="n">
        <x:v>0.9999899864196777</x:v>
      </x:c>
      <x:c r="T314" s="31" t="str">
        <x:v>https://mp.weixin.qq.com/s?__biz=MzUxOTMxNjk0OQ==&amp;mid=2247504122&amp;idx=2&amp;sn=1dd541993ee58fb404522cea4ef55701&amp;chksm=f9f9e440ce8e6d56cd87c8895a764576fe0a5c9beb4490d9a9b8b12e44d9f5b33443c0460895#rd</x:v>
      </x:c>
    </x:row>
    <x:row r="315">
      <x:c r="A315" s="36" t="d">
        <x:v>2025-11-10T00:00:00.000Z</x:v>
      </x:c>
      <x:c r="B315" s="48" t="n">
        <x:v>271.7</x:v>
      </x:c>
      <x:c r="C315" s="48" t="n">
        <x:v>208.52</x:v>
      </x:c>
      <x:c r="D315" s="48" t="n">
        <x:v>208.75</x:v>
      </x:c>
      <x:c r="E315" s="48" t="n">
        <x:v>121.1</x:v>
      </x:c>
      <x:c r="F315" s="48" t="n">
        <x:v>1000</x:v>
      </x:c>
      <x:c r="G315" s="48" t="n">
        <x:v>40</x:v>
      </x:c>
      <x:c r="H315" s="48" t="n">
        <x:v>1000</x:v>
      </x:c>
      <x:c r="I315" s="48" t="n">
        <x:v>40</x:v>
      </x:c>
      <x:c r="J315" s="48" t="n">
        <x:v>1000</x:v>
      </x:c>
      <x:c r="K315" s="48" t="n">
        <x:v>40</x:v>
      </x:c>
      <x:c r="L315" s="48" t="n">
        <x:v>1000</x:v>
      </x:c>
      <x:c r="M315" s="48" t="n">
        <x:v>40</x:v>
      </x:c>
      <x:c r="N315" s="48" t="n">
        <x:v>0.24</x:v>
      </x:c>
      <x:c r="O315" s="48" t="n">
        <x:v>0.22</x:v>
      </x:c>
      <x:c r="P315" s="48" t="n">
        <x:v>0.27</x:v>
      </x:c>
      <x:c r="Q315" s="48" t="n">
        <x:v>0.24</x:v>
      </x:c>
      <x:c r="R315" s="31" t="str">
        <x:v>ok</x:v>
      </x:c>
      <x:c r="S315" s="51" t="n">
        <x:v>0.9996398687362671</x:v>
      </x:c>
      <x:c r="T315" s="31" t="str">
        <x:v>https://mp.weixin.qq.com/s?__biz=MzUxOTMxNjk0OQ==&amp;mid=2247504132&amp;idx=1&amp;sn=4e1b5c945d4d2814a637f6438495e16d&amp;chksm=f9f9e5bece8e6ca8169b5254e54c8ea72bcb5861b6106bf866cd25fde6acd1a86693851c87e3#rd</x:v>
      </x:c>
    </x:row>
    <x:row r="316">
      <x:c r="A316" s="36" t="d">
        <x:v>2025-11-11T00:00:00.000Z</x:v>
      </x:c>
      <x:c r="B316" s="48" t="n">
        <x:v>201.13</x:v>
      </x:c>
      <x:c r="C316" s="48" t="n">
        <x:v>66.53</x:v>
      </x:c>
      <x:c r="D316" s="48" t="n">
        <x:v>219.7</x:v>
      </x:c>
      <x:c r="E316" s="48" t="n">
        <x:v>94.92</x:v>
      </x:c>
      <x:c r="F316" s="48" t="n">
        <x:v>800</x:v>
      </x:c>
      <x:c r="G316" s="48" t="n">
        <x:v>40</x:v>
      </x:c>
      <x:c r="H316" s="48" t="n">
        <x:v>800</x:v>
      </x:c>
      <x:c r="I316" s="48" t="n">
        <x:v>40</x:v>
      </x:c>
      <x:c r="J316" s="48" t="n">
        <x:v>800</x:v>
      </x:c>
      <x:c r="K316" s="48" t="n">
        <x:v>40</x:v>
      </x:c>
      <x:c r="L316" s="48" t="n">
        <x:v>800</x:v>
      </x:c>
      <x:c r="M316" s="48" t="n">
        <x:v>40</x:v>
      </x:c>
      <x:c r="N316" s="48" t="n">
        <x:v>0.27</x:v>
      </x:c>
      <x:c r="O316" s="48" t="n">
        <x:v>0.42</x:v>
      </x:c>
      <x:c r="P316" s="48" t="n">
        <x:v>0.25</x:v>
      </x:c>
      <x:c r="Q316" s="48" t="n">
        <x:v>0.45</x:v>
      </x:c>
      <x:c r="R316" s="31" t="str">
        <x:v>ok</x:v>
      </x:c>
      <x:c r="S316" s="51" t="n">
        <x:v>0.9999895095825195</x:v>
      </x:c>
      <x:c r="T316" s="31" t="str">
        <x:v>https://mp.weixin.qq.com/s?__biz=MzUxOTMxNjk0OQ==&amp;mid=2247504145&amp;idx=5&amp;sn=7310f866cffb642ee5ee585f49bddda0&amp;chksm=f9f9e5abce8e6cbd698394add07def73d5985d99f59f7af339223954b209416e7e676279a126#rd</x:v>
      </x:c>
    </x:row>
    <x:row r="317">
      <x:c r="A317" s="36" t="d">
        <x:v>2025-11-12T00:00:00.000Z</x:v>
      </x:c>
      <x:c r="B317" s="48" t="n">
        <x:v>173.72</x:v>
      </x:c>
      <x:c r="C317" s="48" t="n">
        <x:v>58.34</x:v>
      </x:c>
      <x:c r="D317" s="48" t="n">
        <x:v>212.06</x:v>
      </x:c>
      <x:c r="E317" s="48" t="n">
        <x:v>77.03</x:v>
      </x:c>
      <x:c r="F317" s="48" t="n">
        <x:v>355</x:v>
      </x:c>
      <x:c r="G317" s="48" t="n">
        <x:v>40</x:v>
      </x:c>
      <x:c r="H317" s="48" t="n">
        <x:v>355</x:v>
      </x:c>
      <x:c r="I317" s="48" t="n">
        <x:v>40</x:v>
      </x:c>
      <x:c r="J317" s="48" t="n">
        <x:v>1000</x:v>
      </x:c>
      <x:c r="K317" s="48" t="n">
        <x:v>40</x:v>
      </x:c>
      <x:c r="L317" s="48" t="n">
        <x:v>1000</x:v>
      </x:c>
      <x:c r="M317" s="48" t="n">
        <x:v>40</x:v>
      </x:c>
      <x:c r="N317" s="48" t="n">
        <x:v>0.47</x:v>
      </x:c>
      <x:c r="O317" s="48" t="n">
        <x:v>0.36</x:v>
      </x:c>
      <x:c r="P317" s="48" t="n">
        <x:v>0.47</x:v>
      </x:c>
      <x:c r="Q317" s="48" t="n">
        <x:v>0.39</x:v>
      </x:c>
      <x:c r="R317" s="31" t="str">
        <x:v>ok</x:v>
      </x:c>
      <x:c r="S317" s="51" t="n">
        <x:v>0.9999852776527405</x:v>
      </x:c>
      <x:c r="T317" s="31" t="str">
        <x:v>https://mp.weixin.qq.com/s?__biz=MzUxOTMxNjk0OQ==&amp;mid=2247504157&amp;idx=1&amp;sn=4ce4ef24d9d6cec9e1b542a54b4381fd&amp;chksm=f9f9e5a7ce8e6cb1487e0424501753e06ae8cf55ebc8705ba8d5fadf666e39822841f2129f38#rd</x:v>
      </x:c>
    </x:row>
    <x:row r="318">
      <x:c r="A318" s="36" t="d">
        <x:v>2025-11-13T00:00:00.000Z</x:v>
      </x:c>
      <x:c r="B318" s="48" t="n">
        <x:v>242.47</x:v>
      </x:c>
      <x:c r="C318" s="48" t="n">
        <x:v>59.45</x:v>
      </x:c>
      <x:c r="D318" s="48" t="n">
        <x:v>319.51</x:v>
      </x:c>
      <x:c r="E318" s="48" t="n">
        <x:v>90.11</x:v>
      </x:c>
      <x:c r="F318" s="48" t="n">
        <x:v>1000</x:v>
      </x:c>
      <x:c r="G318" s="48" t="n">
        <x:v>40</x:v>
      </x:c>
      <x:c r="H318" s="48" t="n">
        <x:v>1000</x:v>
      </x:c>
      <x:c r="I318" s="48" t="n">
        <x:v>40</x:v>
      </x:c>
      <x:c r="J318" s="48" t="n">
        <x:v>1000</x:v>
      </x:c>
      <x:c r="K318" s="48" t="n">
        <x:v>40</x:v>
      </x:c>
      <x:c r="L318" s="48" t="n">
        <x:v>1000</x:v>
      </x:c>
      <x:c r="M318" s="48" t="n">
        <x:v>40</x:v>
      </x:c>
      <x:c r="N318" s="48" t="n">
        <x:v>0.27</x:v>
      </x:c>
      <x:c r="O318" s="48" t="n">
        <x:v>0.37</x:v>
      </x:c>
      <x:c r="P318" s="48" t="n">
        <x:v>0.15</x:v>
      </x:c>
      <x:c r="Q318" s="48" t="n">
        <x:v>0.39</x:v>
      </x:c>
      <x:c r="R318" s="31" t="str">
        <x:v>ok</x:v>
      </x:c>
      <x:c r="S318" s="51" t="n">
        <x:v>0.9998100996017456</x:v>
      </x:c>
      <x:c r="T318" s="31" t="str">
        <x:v>https://mp.weixin.qq.com/s?__biz=MzUxOTMxNjk0OQ==&amp;mid=2247504229&amp;idx=1&amp;sn=b84fc6cb76da4ee67b8fa93684291906&amp;chksm=f9f9e5dfce8e6cc9db707260ec1069fbef7670549fb3b4d598ee90cff6e5f0e752b0f581e746#rd</x:v>
      </x:c>
    </x:row>
    <x:row r="319">
      <x:c r="A319" s="36" t="d">
        <x:v>2025-11-14T00:00:00.000Z</x:v>
      </x:c>
      <x:c r="B319" s="48" t="n">
        <x:v>105.05</x:v>
      </x:c>
      <x:c r="C319" s="48" t="n">
        <x:v>43.69</x:v>
      </x:c>
      <x:c r="D319" s="48" t="n">
        <x:v>145.36</x:v>
      </x:c>
      <x:c r="E319" s="48" t="n">
        <x:v>65.17</x:v>
      </x:c>
      <x:c r="F319" s="48" t="n">
        <x:v>345</x:v>
      </x:c>
      <x:c r="G319" s="48" t="n">
        <x:v>40</x:v>
      </x:c>
      <x:c r="H319" s="48" t="n">
        <x:v>345</x:v>
      </x:c>
      <x:c r="I319" s="48" t="n">
        <x:v>40</x:v>
      </x:c>
      <x:c r="J319" s="48" t="n">
        <x:v>1000</x:v>
      </x:c>
      <x:c r="K319" s="48" t="n">
        <x:v>40</x:v>
      </x:c>
      <x:c r="L319" s="48" t="n">
        <x:v>1000</x:v>
      </x:c>
      <x:c r="M319" s="48" t="n">
        <x:v>40</x:v>
      </x:c>
      <x:c r="N319" s="48" t="n">
        <x:v>0.49</x:v>
      </x:c>
      <x:c r="O319" s="48" t="n">
        <x:v>0.3</x:v>
      </x:c>
      <x:c r="P319" s="48" t="n">
        <x:v>0.5</x:v>
      </x:c>
      <x:c r="Q319" s="48" t="n">
        <x:v>0.4</x:v>
      </x:c>
      <x:c r="R319" s="31" t="str">
        <x:v>ok</x:v>
      </x:c>
      <x:c r="S319" s="51" t="n">
        <x:v>0.998478889465332</x:v>
      </x:c>
      <x:c r="T319" s="31" t="str">
        <x:v>https://mp.weixin.qq.com/s?__biz=MzUxOTMxNjk0OQ==&amp;mid=2247504235&amp;idx=1&amp;sn=0768f81f3264f0587164939125c78e70&amp;chksm=f9f9e5d1ce8e6cc7311e65622fc5a199b52afb842543a58f44dd8c83d5b5aeb62c20cde231a5#rd</x:v>
      </x:c>
    </x:row>
    <x:row r="320">
      <x:c r="A320" s="36" t="d">
        <x:v>2025-11-15T00:00:00.000Z</x:v>
      </x:c>
      <x:c r="B320" s="48" t="n">
        <x:v>127.49</x:v>
      </x:c>
      <x:c r="C320" s="48" t="n">
        <x:v>54.77</x:v>
      </x:c>
      <x:c r="D320" s="48" t="n">
        <x:v>123.62</x:v>
      </x:c>
      <x:c r="E320" s="48" t="n">
        <x:v>60.79</x:v>
      </x:c>
      <x:c r="F320" s="48" t="n">
        <x:v>1000</x:v>
      </x:c>
      <x:c r="G320" s="48" t="n">
        <x:v>40</x:v>
      </x:c>
      <x:c r="H320" s="48" t="n">
        <x:v>1000</x:v>
      </x:c>
      <x:c r="I320" s="48" t="n">
        <x:v>40</x:v>
      </x:c>
      <x:c r="J320" s="48" t="n">
        <x:v>1000</x:v>
      </x:c>
      <x:c r="K320" s="48" t="n">
        <x:v>40</x:v>
      </x:c>
      <x:c r="L320" s="48" t="n">
        <x:v>1000</x:v>
      </x:c>
      <x:c r="M320" s="48" t="n">
        <x:v>40</x:v>
      </x:c>
      <x:c r="N320" s="48" t="n">
        <x:v>0.41</x:v>
      </x:c>
      <x:c r="O320" s="48" t="n">
        <x:v>0.31</x:v>
      </x:c>
      <x:c r="P320" s="48" t="n">
        <x:v>0.39</x:v>
      </x:c>
      <x:c r="Q320" s="48" t="n">
        <x:v>0.28</x:v>
      </x:c>
      <x:c r="R320" s="31" t="str">
        <x:v>ok</x:v>
      </x:c>
      <x:c r="S320" s="51" t="n">
        <x:v>0.9940152764320374</x:v>
      </x:c>
      <x:c r="T320" s="31" t="str">
        <x:v>https://mp.weixin.qq.com/s?__biz=MzUxOTMxNjk0OQ==&amp;mid=2247504239&amp;idx=1&amp;sn=638ec9db2156350af88f0c1c7795e1eb&amp;chksm=f9f9e5d5ce8e6cc334cf1e89fd28b7d85fbeff046f09f802fc7371eab81021e9846bb29a57ff#rd</x:v>
      </x:c>
    </x:row>
    <x:row r="321">
      <x:c r="A321" s="36" t="d">
        <x:v>2025-11-16T00:00:00.000Z</x:v>
      </x:c>
      <x:c r="B321" s="48"/>
      <x:c r="C321" s="48"/>
      <x:c r="D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  <x:c r="Q321" s="48"/>
      <x:c r="R321" s="31" t="str">
        <x:v>公众号日报缺失</x:v>
      </x:c>
      <x:c r="S321" s="51"/>
      <x:c r="T321" s="31"/>
    </x:row>
    <x:row r="322">
      <x:c r="A322" s="36" t="d">
        <x:v>2025-11-17T00:00:00.000Z</x:v>
      </x:c>
      <x:c r="B322" s="48" t="n">
        <x:v>93.43</x:v>
      </x:c>
      <x:c r="C322" s="48" t="n">
        <x:v>48.64</x:v>
      </x:c>
      <x:c r="D322" s="48" t="n">
        <x:v>100.61</x:v>
      </x:c>
      <x:c r="E322" s="48" t="n">
        <x:v>74.48</x:v>
      </x:c>
      <x:c r="F322" s="48" t="n">
        <x:v>433.18</x:v>
      </x:c>
      <x:c r="G322" s="48" t="n">
        <x:v>40</x:v>
      </x:c>
      <x:c r="H322" s="48" t="n">
        <x:v>433.18</x:v>
      </x:c>
      <x:c r="I322" s="48" t="n">
        <x:v>40</x:v>
      </x:c>
      <x:c r="J322" s="48" t="n">
        <x:v>350</x:v>
      </x:c>
      <x:c r="K322" s="48" t="n">
        <x:v>40</x:v>
      </x:c>
      <x:c r="L322" s="48" t="n">
        <x:v>350</x:v>
      </x:c>
      <x:c r="M322" s="48" t="n">
        <x:v>40</x:v>
      </x:c>
      <x:c r="N322" s="48" t="n">
        <x:v>0.7</x:v>
      </x:c>
      <x:c r="O322" s="48" t="n">
        <x:v>0.41</x:v>
      </x:c>
      <x:c r="P322" s="48" t="n">
        <x:v>0.62</x:v>
      </x:c>
      <x:c r="Q322" s="48" t="n">
        <x:v>0.42</x:v>
      </x:c>
      <x:c r="R322" s="31" t="str">
        <x:v>ok</x:v>
      </x:c>
      <x:c r="S322" s="51" t="n">
        <x:v>0.9999964237213135</x:v>
      </x:c>
      <x:c r="T322" s="31" t="str">
        <x:v>https://mp.weixin.qq.com/s?__biz=MzUxOTMxNjk0OQ==&amp;mid=2247504281&amp;idx=1&amp;sn=d0452e5e9aee285bc698c4af3accee2d&amp;chksm=f9f9e523ce8e6c35e87f2a2de633ed4e2888c957504c9269bf71d37f8ff9047f8690b4401da8#rd</x:v>
      </x:c>
    </x:row>
    <x:row r="323">
      <x:c r="A323" s="36" t="d">
        <x:v>2025-11-18T00:00:00.000Z</x:v>
      </x:c>
      <x:c r="B323" s="48" t="n">
        <x:v>172.48</x:v>
      </x:c>
      <x:c r="C323" s="48" t="n">
        <x:v>52.55</x:v>
      </x:c>
      <x:c r="D323" s="48" t="n">
        <x:v>182.76</x:v>
      </x:c>
      <x:c r="E323" s="48" t="n">
        <x:v>41.72</x:v>
      </x:c>
      <x:c r="F323" s="48" t="n">
        <x:v>1000</x:v>
      </x:c>
      <x:c r="G323" s="48" t="n">
        <x:v>40</x:v>
      </x:c>
      <x:c r="H323" s="48" t="n">
        <x:v>1000</x:v>
      </x:c>
      <x:c r="I323" s="48" t="n">
        <x:v>40</x:v>
      </x:c>
      <x:c r="J323" s="48" t="n">
        <x:v>1000</x:v>
      </x:c>
      <x:c r="K323" s="48" t="n">
        <x:v>40</x:v>
      </x:c>
      <x:c r="L323" s="48" t="n">
        <x:v>1000</x:v>
      </x:c>
      <x:c r="M323" s="48" t="n">
        <x:v>40</x:v>
      </x:c>
      <x:c r="N323" s="48" t="n">
        <x:v>0.65</x:v>
      </x:c>
      <x:c r="O323" s="48" t="n">
        <x:v>0.37</x:v>
      </x:c>
      <x:c r="P323" s="48" t="n">
        <x:v>0.73</x:v>
      </x:c>
      <x:c r="Q323" s="48" t="n">
        <x:v>0.36</x:v>
      </x:c>
      <x:c r="R323" s="31" t="str">
        <x:v>ok</x:v>
      </x:c>
      <x:c r="S323" s="51" t="n">
        <x:v>0.9999838471412659</x:v>
      </x:c>
      <x:c r="T323" s="31" t="str">
        <x:v>https://mp.weixin.qq.com/s?__biz=MzUxOTMxNjk0OQ==&amp;mid=2247504285&amp;idx=1&amp;sn=9a7955373ca37f0beaaff2d31535e3fd&amp;chksm=f9f9e527ce8e6c31af4ad1a9e9a02fb38ad850e369c748b182f16732360bd516799d3e7c2388#rd</x:v>
      </x:c>
    </x:row>
    <x:row r="324">
      <x:c r="A324" s="36" t="d">
        <x:v>2025-11-19T00:00:00.000Z</x:v>
      </x:c>
      <x:c r="B324" s="48" t="n">
        <x:v>225.24</x:v>
      </x:c>
      <x:c r="C324" s="48" t="n">
        <x:v>66.08</x:v>
      </x:c>
      <x:c r="D324" s="48" t="n">
        <x:v>307.42</x:v>
      </x:c>
      <x:c r="E324" s="48" t="n">
        <x:v>93.58</x:v>
      </x:c>
      <x:c r="F324" s="48" t="n">
        <x:v>800</x:v>
      </x:c>
      <x:c r="G324" s="48" t="n">
        <x:v>40</x:v>
      </x:c>
      <x:c r="H324" s="48" t="n">
        <x:v>800</x:v>
      </x:c>
      <x:c r="I324" s="48" t="n">
        <x:v>40</x:v>
      </x:c>
      <x:c r="J324" s="48" t="n">
        <x:v>800</x:v>
      </x:c>
      <x:c r="K324" s="48" t="n">
        <x:v>40</x:v>
      </x:c>
      <x:c r="L324" s="48" t="n">
        <x:v>800</x:v>
      </x:c>
      <x:c r="M324" s="48" t="n">
        <x:v>40</x:v>
      </x:c>
      <x:c r="N324" s="48" t="n">
        <x:v>0.29</x:v>
      </x:c>
      <x:c r="O324" s="48" t="n">
        <x:v>0.51</x:v>
      </x:c>
      <x:c r="P324" s="48" t="n">
        <x:v>0.23</x:v>
      </x:c>
      <x:c r="Q324" s="48" t="n">
        <x:v>0.48</x:v>
      </x:c>
      <x:c r="R324" s="31" t="str">
        <x:v>ok</x:v>
      </x:c>
      <x:c r="S324" s="51" t="n">
        <x:v>0.9999964833259583</x:v>
      </x:c>
      <x:c r="T324" s="31" t="str">
        <x:v>https://mp.weixin.qq.com/s?__biz=MzUxOTMxNjk0OQ==&amp;mid=2247504291&amp;idx=1&amp;sn=481e600a8ee9772c6444bd9c484d1c32&amp;chksm=f9f9e519ce8e6c0f798556aad89a9ddcfd292b692d2e86a6247f9e1e9fd0f032076713587be2#rd</x:v>
      </x:c>
    </x:row>
    <x:row r="325">
      <x:c r="A325" s="36" t="d">
        <x:v>2025-11-20T00:00:00.000Z</x:v>
      </x:c>
      <x:c r="B325" s="48" t="n">
        <x:v>169.18</x:v>
      </x:c>
      <x:c r="C325" s="48" t="n">
        <x:v>73.74</x:v>
      </x:c>
      <x:c r="D325" s="48" t="n">
        <x:v>251.27</x:v>
      </x:c>
      <x:c r="E325" s="48" t="n">
        <x:v>75.78</x:v>
      </x:c>
      <x:c r="F325" s="48" t="n">
        <x:v>450</x:v>
      </x:c>
      <x:c r="G325" s="48" t="n">
        <x:v>40</x:v>
      </x:c>
      <x:c r="H325" s="48" t="n">
        <x:v>450</x:v>
      </x:c>
      <x:c r="I325" s="48" t="n">
        <x:v>40</x:v>
      </x:c>
      <x:c r="J325" s="48" t="n">
        <x:v>425.4</x:v>
      </x:c>
      <x:c r="K325" s="48" t="n">
        <x:v>40</x:v>
      </x:c>
      <x:c r="L325" s="48" t="n">
        <x:v>425.4</x:v>
      </x:c>
      <x:c r="M325" s="48" t="n">
        <x:v>40</x:v>
      </x:c>
      <x:c r="N325" s="48" t="n">
        <x:v>0.41</x:v>
      </x:c>
      <x:c r="O325" s="48" t="n">
        <x:v>0.52</x:v>
      </x:c>
      <x:c r="P325" s="48" t="n">
        <x:v>0.4</x:v>
      </x:c>
      <x:c r="Q325" s="48" t="n">
        <x:v>0.45</x:v>
      </x:c>
      <x:c r="R325" s="31" t="str">
        <x:v>ok</x:v>
      </x:c>
      <x:c r="S325" s="51" t="n">
        <x:v>0.9999986886978149</x:v>
      </x:c>
      <x:c r="T325" s="31" t="str">
        <x:v>https://mp.weixin.qq.com/s?__biz=MzUxOTMxNjk0OQ==&amp;mid=2247504311&amp;idx=1&amp;sn=e2ee5d1b2d9dfe730ad2eafc73bfe91b&amp;chksm=f9f9e50dce8e6c1bd42f0ad53f133c8763f185574ddf7021a3513658a683f12c9fba7f336193#rd</x:v>
      </x:c>
    </x:row>
    <x:row r="326">
      <x:c r="A326" s="36" t="d">
        <x:v>2025-11-21T00:00:00.000Z</x:v>
      </x:c>
      <x:c r="B326" s="48" t="n">
        <x:v>261.19</x:v>
      </x:c>
      <x:c r="C326" s="48" t="n">
        <x:v>68.64</x:v>
      </x:c>
      <x:c r="D326" s="48" t="n">
        <x:v>356.27</x:v>
      </x:c>
      <x:c r="E326" s="48" t="n">
        <x:v>105.7</x:v>
      </x:c>
      <x:c r="F326" s="48" t="n">
        <x:v>540</x:v>
      </x:c>
      <x:c r="G326" s="48" t="n">
        <x:v>40</x:v>
      </x:c>
      <x:c r="H326" s="48" t="n">
        <x:v>1000</x:v>
      </x:c>
      <x:c r="I326" s="48" t="n">
        <x:v>40</x:v>
      </x:c>
      <x:c r="J326" s="48" t="n">
        <x:v>600</x:v>
      </x:c>
      <x:c r="K326" s="48" t="n">
        <x:v>40</x:v>
      </x:c>
      <x:c r="L326" s="48" t="n">
        <x:v>600</x:v>
      </x:c>
      <x:c r="M326" s="48" t="n">
        <x:v>40</x:v>
      </x:c>
      <x:c r="N326" s="48" t="n">
        <x:v>0.22</x:v>
      </x:c>
      <x:c r="O326" s="48" t="n">
        <x:v>0.51</x:v>
      </x:c>
      <x:c r="P326" s="48" t="n">
        <x:v>0.19</x:v>
      </x:c>
      <x:c r="Q326" s="48" t="n">
        <x:v>0.52</x:v>
      </x:c>
      <x:c r="R326" s="31" t="str">
        <x:v>ok</x:v>
      </x:c>
      <x:c r="S326" s="51" t="n">
        <x:v>0.9999875426292419</x:v>
      </x:c>
      <x:c r="T326" s="31" t="str">
        <x:v>https://mp.weixin.qq.com/s?__biz=MzUxOTMxNjk0OQ==&amp;mid=2247504329&amp;idx=1&amp;sn=05a07082bc4f412dda9645abefbd0f94&amp;chksm=f9f9e573ce8e6c650ada9878c65db1490951d40f6a349ea5cf2bda8e7750734e7c112d7b6ecc#rd</x:v>
      </x:c>
    </x:row>
    <x:row r="327">
      <x:c r="A327" s="36" t="d">
        <x:v>2025-11-22T00:00:00.000Z</x:v>
      </x:c>
      <x:c r="B327" s="48" t="n">
        <x:v>95.37</x:v>
      </x:c>
      <x:c r="C327" s="48" t="n">
        <x:v>64.85</x:v>
      </x:c>
      <x:c r="D327" s="48" t="n">
        <x:v>113.38</x:v>
      </x:c>
      <x:c r="E327" s="48" t="n">
        <x:v>73.75</x:v>
      </x:c>
      <x:c r="F327" s="48" t="n">
        <x:v>450</x:v>
      </x:c>
      <x:c r="G327" s="48" t="n">
        <x:v>40</x:v>
      </x:c>
      <x:c r="H327" s="48" t="n">
        <x:v>1000</x:v>
      </x:c>
      <x:c r="I327" s="48" t="n">
        <x:v>40</x:v>
      </x:c>
      <x:c r="J327" s="48" t="n">
        <x:v>334</x:v>
      </x:c>
      <x:c r="K327" s="48" t="n">
        <x:v>40</x:v>
      </x:c>
      <x:c r="L327" s="48" t="n">
        <x:v>334</x:v>
      </x:c>
      <x:c r="M327" s="48" t="n">
        <x:v>40</x:v>
      </x:c>
      <x:c r="N327" s="48" t="n">
        <x:v>0.78</x:v>
      </x:c>
      <x:c r="O327" s="48" t="n">
        <x:v>0.39</x:v>
      </x:c>
      <x:c r="P327" s="48" t="n">
        <x:v>0.79</x:v>
      </x:c>
      <x:c r="Q327" s="48" t="n">
        <x:v>0.4</x:v>
      </x:c>
      <x:c r="R327" s="31" t="str">
        <x:v>ok</x:v>
      </x:c>
      <x:c r="S327" s="51" t="n">
        <x:v>0.999965250492096</x:v>
      </x:c>
      <x:c r="T327" s="31" t="str">
        <x:v>https://mp.weixin.qq.com/s?__biz=MzUxOTMxNjk0OQ==&amp;mid=2247504333&amp;idx=1&amp;sn=1d12d363631a02be21d1d3d3bcc2a38c&amp;chksm=f9f9e577ce8e6c61e619fd3518c61fb2594a74c7087f40c00f8a231281edb04630374d2ace02#rd</x:v>
      </x:c>
    </x:row>
    <x:row r="328">
      <x:c r="A328" s="36" t="d">
        <x:v>2025-11-23T00:00:00.000Z</x:v>
      </x:c>
      <x:c r="B328" s="48" t="n">
        <x:v>96.85</x:v>
      </x:c>
      <x:c r="C328" s="48" t="n">
        <x:v>50.83</x:v>
      </x:c>
      <x:c r="D328" s="48" t="n">
        <x:v>89.08</x:v>
      </x:c>
      <x:c r="E328" s="48" t="n">
        <x:v>58.06</x:v>
      </x:c>
      <x:c r="F328" s="48" t="n">
        <x:v>1000</x:v>
      </x:c>
      <x:c r="G328" s="48" t="n">
        <x:v>40</x:v>
      </x:c>
      <x:c r="H328" s="48" t="n">
        <x:v>1000</x:v>
      </x:c>
      <x:c r="I328" s="48" t="n">
        <x:v>40</x:v>
      </x:c>
      <x:c r="J328" s="48" t="n">
        <x:v>334</x:v>
      </x:c>
      <x:c r="K328" s="48" t="n">
        <x:v>40</x:v>
      </x:c>
      <x:c r="L328" s="48" t="n">
        <x:v>1000</x:v>
      </x:c>
      <x:c r="M328" s="48" t="n">
        <x:v>40</x:v>
      </x:c>
      <x:c r="N328" s="48" t="n">
        <x:v>0.97</x:v>
      </x:c>
      <x:c r="O328" s="48" t="n">
        <x:v>0.41</x:v>
      </x:c>
      <x:c r="P328" s="48" t="n">
        <x:v>0.93</x:v>
      </x:c>
      <x:c r="Q328" s="48" t="n">
        <x:v>0.34</x:v>
      </x:c>
      <x:c r="R328" s="31" t="str">
        <x:v>ok</x:v>
      </x:c>
      <x:c r="S328" s="51" t="n">
        <x:v>0.9870054721832275</x:v>
      </x:c>
      <x:c r="T328" s="31" t="str">
        <x:v>https://mp.weixin.qq.com/s?__biz=MzUxOTMxNjk0OQ==&amp;mid=2247504542&amp;idx=1&amp;sn=26aa538816c9d4d72dfe777896adaf8d&amp;chksm=f9f9e624ce8e6f32440078a88ba884ea685135d1d145f9ea78a5dbaa9808846ab7db2641ec8f#rd</x:v>
      </x:c>
    </x:row>
    <x:row r="329">
      <x:c r="A329" s="36" t="d">
        <x:v>2025-11-24T00:00:00.000Z</x:v>
      </x:c>
      <x:c r="B329" s="48" t="n">
        <x:v>100.63</x:v>
      </x:c>
      <x:c r="C329" s="48" t="n">
        <x:v>43.89</x:v>
      </x:c>
      <x:c r="D329" s="48" t="n">
        <x:v>119.41</x:v>
      </x:c>
      <x:c r="E329" s="48" t="n">
        <x:v>71.9</x:v>
      </x:c>
      <x:c r="F329" s="48" t="n">
        <x:v>330</x:v>
      </x:c>
      <x:c r="G329" s="48" t="n">
        <x:v>40</x:v>
      </x:c>
      <x:c r="H329" s="48" t="n">
        <x:v>330</x:v>
      </x:c>
      <x:c r="I329" s="48" t="n">
        <x:v>40</x:v>
      </x:c>
      <x:c r="J329" s="48" t="n">
        <x:v>333</x:v>
      </x:c>
      <x:c r="K329" s="48" t="n">
        <x:v>40</x:v>
      </x:c>
      <x:c r="L329" s="48" t="n">
        <x:v>462.14</x:v>
      </x:c>
      <x:c r="M329" s="48" t="n">
        <x:v>40</x:v>
      </x:c>
      <x:c r="N329" s="48" t="n">
        <x:v>0.92</x:v>
      </x:c>
      <x:c r="O329" s="48" t="n">
        <x:v>0.29</x:v>
      </x:c>
      <x:c r="P329" s="48" t="n">
        <x:v>0.95</x:v>
      </x:c>
      <x:c r="Q329" s="48" t="n">
        <x:v>0.26</x:v>
      </x:c>
      <x:c r="R329" s="31" t="str">
        <x:v>ok</x:v>
      </x:c>
      <x:c r="S329" s="51" t="n">
        <x:v>0.9999963641166687</x:v>
      </x:c>
      <x:c r="T329" s="31" t="str">
        <x:v>https://mp.weixin.qq.com/s?__biz=MzUxOTMxNjk0OQ==&amp;mid=2247504816&amp;idx=1&amp;sn=50dc3d70e5580538ff46875b679bab4a&amp;chksm=f9f9e70ace8e6e1c8710d62a310b86578fb5bb78b3cfcbb819b77de25185cc16f86cfad441d4#rd</x:v>
      </x:c>
    </x:row>
    <x:row r="330">
      <x:c r="A330" s="36" t="d">
        <x:v>2025-11-25T00:00:00.000Z</x:v>
      </x:c>
      <x:c r="B330" s="48" t="n">
        <x:v>197.3</x:v>
      </x:c>
      <x:c r="C330" s="48" t="n">
        <x:v>65.71</x:v>
      </x:c>
      <x:c r="D330" s="48" t="n">
        <x:v>106.67</x:v>
      </x:c>
      <x:c r="E330" s="48" t="n">
        <x:v>71.74</x:v>
      </x:c>
      <x:c r="F330" s="48" t="n">
        <x:v>1000</x:v>
      </x:c>
      <x:c r="G330" s="48" t="n">
        <x:v>40</x:v>
      </x:c>
      <x:c r="H330" s="48" t="n">
        <x:v>1000</x:v>
      </x:c>
      <x:c r="I330" s="48" t="n">
        <x:v>40</x:v>
      </x:c>
      <x:c r="J330" s="48" t="n">
        <x:v>1000</x:v>
      </x:c>
      <x:c r="K330" s="48" t="n">
        <x:v>40</x:v>
      </x:c>
      <x:c r="L330" s="48" t="n">
        <x:v>1000</x:v>
      </x:c>
      <x:c r="M330" s="48" t="n">
        <x:v>40</x:v>
      </x:c>
      <x:c r="N330" s="48" t="n">
        <x:v>0.76</x:v>
      </x:c>
      <x:c r="O330" s="48" t="n">
        <x:v>0.36</x:v>
      </x:c>
      <x:c r="P330" s="48" t="n">
        <x:v>0.81</x:v>
      </x:c>
      <x:c r="Q330" s="48" t="n">
        <x:v>0.31</x:v>
      </x:c>
      <x:c r="R330" s="31" t="str">
        <x:v>ok</x:v>
      </x:c>
      <x:c r="S330" s="51" t="n">
        <x:v>0.9985847473144531</x:v>
      </x:c>
      <x:c r="T330" s="31" t="str">
        <x:v>https://mp.weixin.qq.com/s?__biz=MzUxOTMxNjk0OQ==&amp;mid=2247504822&amp;idx=1&amp;sn=931e62f1ef358cefa885da23e5e91dd7&amp;chksm=f9f9e70cce8e6e1a5d261cf699a99455b1d36200a17d82f4ae0df7df0705a0bc48910a046ffb#rd</x:v>
      </x:c>
    </x:row>
    <x:row r="331">
      <x:c r="A331" s="36" t="d">
        <x:v>2025-11-26T00:00:00.000Z</x:v>
      </x:c>
      <x:c r="B331" s="48" t="n">
        <x:v>48.78</x:v>
      </x:c>
      <x:c r="C331" s="48" t="n">
        <x:v>42.18</x:v>
      </x:c>
      <x:c r="D331" s="48" t="n">
        <x:v>58.68</x:v>
      </x:c>
      <x:c r="E331" s="48" t="n">
        <x:v>45.24</x:v>
      </x:c>
      <x:c r="F331" s="48" t="n">
        <x:v>300</x:v>
      </x:c>
      <x:c r="G331" s="48" t="n">
        <x:v>40</x:v>
      </x:c>
      <x:c r="H331" s="48" t="n">
        <x:v>300</x:v>
      </x:c>
      <x:c r="I331" s="48" t="n">
        <x:v>40</x:v>
      </x:c>
      <x:c r="J331" s="48" t="n">
        <x:v>1000</x:v>
      </x:c>
      <x:c r="K331" s="48" t="n">
        <x:v>40</x:v>
      </x:c>
      <x:c r="L331" s="48" t="n">
        <x:v>1000</x:v>
      </x:c>
      <x:c r="M331" s="48" t="n">
        <x:v>40</x:v>
      </x:c>
      <x:c r="N331" s="48" t="n">
        <x:v>1</x:v>
      </x:c>
      <x:c r="O331" s="48" t="n">
        <x:v>0.3</x:v>
      </x:c>
      <x:c r="P331" s="48" t="n">
        <x:v>1.07</x:v>
      </x:c>
      <x:c r="Q331" s="48" t="n">
        <x:v>0.31</x:v>
      </x:c>
      <x:c r="R331" s="31" t="str">
        <x:v>ok</x:v>
      </x:c>
      <x:c r="S331" s="51" t="n">
        <x:v>0.9991158246994019</x:v>
      </x:c>
      <x:c r="T331" s="31" t="str">
        <x:v>https://mp.weixin.qq.com/s?__biz=MzUxOTMxNjk0OQ==&amp;mid=2247504835&amp;idx=5&amp;sn=f3ca75c3313506643dfe33e99d2ecca0&amp;chksm=f9f9e779ce8e6e6f940043494307551f7ba7ef6bf68daa14535b41faf175f66ccfec37dd702c#rd</x:v>
      </x:c>
    </x:row>
    <x:row r="332">
      <x:c r="A332" s="36" t="d">
        <x:v>2025-11-27T00:00:00.000Z</x:v>
      </x:c>
      <x:c r="B332" s="48" t="n">
        <x:v>61.76</x:v>
      </x:c>
      <x:c r="C332" s="48" t="n">
        <x:v>53.11</x:v>
      </x:c>
      <x:c r="D332" s="48" t="n">
        <x:v>61.02</x:v>
      </x:c>
      <x:c r="E332" s="48" t="n">
        <x:v>46.11</x:v>
      </x:c>
      <x:c r="F332" s="48" t="n">
        <x:v>1000</x:v>
      </x:c>
      <x:c r="G332" s="48" t="n">
        <x:v>40</x:v>
      </x:c>
      <x:c r="H332" s="48" t="n">
        <x:v>1000</x:v>
      </x:c>
      <x:c r="I332" s="48" t="n">
        <x:v>40</x:v>
      </x:c>
      <x:c r="J332" s="48" t="n">
        <x:v>1000</x:v>
      </x:c>
      <x:c r="K332" s="48" t="n">
        <x:v>40</x:v>
      </x:c>
      <x:c r="L332" s="48" t="n">
        <x:v>1000</x:v>
      </x:c>
      <x:c r="M332" s="48" t="n">
        <x:v>40</x:v>
      </x:c>
      <x:c r="N332" s="48" t="n">
        <x:v>0.92</x:v>
      </x:c>
      <x:c r="O332" s="48" t="n">
        <x:v>0.34</x:v>
      </x:c>
      <x:c r="P332" s="48" t="n">
        <x:v>0.94</x:v>
      </x:c>
      <x:c r="Q332" s="48" t="n">
        <x:v>0.37</x:v>
      </x:c>
      <x:c r="R332" s="31" t="str">
        <x:v>ok</x:v>
      </x:c>
      <x:c r="S332" s="51" t="n">
        <x:v>0.9991054534912109</x:v>
      </x:c>
      <x:c r="T332" s="31" t="str">
        <x:v>https://mp.weixin.qq.com/s?__biz=MzUxOTMxNjk0OQ==&amp;mid=2247504884&amp;idx=1&amp;sn=83a15f2528532c7208bc32e58a329eef&amp;chksm=f9f9e74ece8e6e58b29bbd8c5d24c8d022c435f2d19c82ac89878173b590e5187cd4195b6fa4#rd</x:v>
      </x:c>
    </x:row>
    <x:row r="333">
      <x:c r="A333" s="36" t="d">
        <x:v>2025-11-28T00:00:00.000Z</x:v>
      </x:c>
      <x:c r="B333" s="48" t="n">
        <x:v>67.94</x:v>
      </x:c>
      <x:c r="C333" s="48" t="n">
        <x:v>69.7</x:v>
      </x:c>
      <x:c r="D333" s="48" t="n">
        <x:v>65.28</x:v>
      </x:c>
      <x:c r="E333" s="48" t="n">
        <x:v>71.3</x:v>
      </x:c>
      <x:c r="F333" s="48" t="n">
        <x:v>1000</x:v>
      </x:c>
      <x:c r="G333" s="48" t="n">
        <x:v>40</x:v>
      </x:c>
      <x:c r="H333" s="48" t="n">
        <x:v>1000</x:v>
      </x:c>
      <x:c r="I333" s="48" t="n">
        <x:v>40</x:v>
      </x:c>
      <x:c r="J333" s="48" t="n">
        <x:v>1000</x:v>
      </x:c>
      <x:c r="K333" s="48" t="n">
        <x:v>40</x:v>
      </x:c>
      <x:c r="L333" s="48" t="n">
        <x:v>1000</x:v>
      </x:c>
      <x:c r="M333" s="48" t="n">
        <x:v>40</x:v>
      </x:c>
      <x:c r="N333" s="48" t="n">
        <x:v>0.89</x:v>
      </x:c>
      <x:c r="O333" s="48" t="n">
        <x:v>0.3</x:v>
      </x:c>
      <x:c r="P333" s="48" t="n">
        <x:v>0.91</x:v>
      </x:c>
      <x:c r="Q333" s="48" t="n">
        <x:v>0.33</x:v>
      </x:c>
      <x:c r="R333" s="31" t="str">
        <x:v>ok</x:v>
      </x:c>
      <x:c r="S333" s="51" t="n">
        <x:v>0.9995227456092834</x:v>
      </x:c>
      <x:c r="T333" s="31" t="str">
        <x:v>https://mp.weixin.qq.com/s?__biz=MzUxOTMxNjk0OQ==&amp;mid=2247504888&amp;idx=2&amp;sn=6d1cd92e0071c90891f06672f5a87f65&amp;chksm=f9f9e742ce8e6e54b40bd67920cd7cb808eb8bfd1a44c3bfb5eb9f2084367b8045d594d6ee63#rd</x:v>
      </x:c>
    </x:row>
    <x:row r="334">
      <x:c r="A334" s="36" t="d">
        <x:v>2025-11-29T00:00:00.000Z</x:v>
      </x:c>
      <x:c r="B334" s="48" t="n">
        <x:v>111.92</x:v>
      </x:c>
      <x:c r="C334" s="48" t="n">
        <x:v>44.74</x:v>
      </x:c>
      <x:c r="D334" s="48" t="n">
        <x:v>163</x:v>
      </x:c>
      <x:c r="E334" s="48" t="n">
        <x:v>50.7</x:v>
      </x:c>
      <x:c r="F334" s="48" t="n">
        <x:v>1000</x:v>
      </x:c>
      <x:c r="G334" s="48" t="n">
        <x:v>40</x:v>
      </x:c>
      <x:c r="H334" s="48" t="n">
        <x:v>1000</x:v>
      </x:c>
      <x:c r="I334" s="48" t="n">
        <x:v>40</x:v>
      </x:c>
      <x:c r="J334" s="48" t="n">
        <x:v>1000</x:v>
      </x:c>
      <x:c r="K334" s="48" t="n">
        <x:v>40</x:v>
      </x:c>
      <x:c r="L334" s="48" t="n">
        <x:v>1000</x:v>
      </x:c>
      <x:c r="M334" s="48" t="n">
        <x:v>40</x:v>
      </x:c>
      <x:c r="N334" s="48" t="n">
        <x:v>0.69</x:v>
      </x:c>
      <x:c r="O334" s="48" t="n">
        <x:v>0.31</x:v>
      </x:c>
      <x:c r="P334" s="48" t="n">
        <x:v>0.61</x:v>
      </x:c>
      <x:c r="Q334" s="48" t="n">
        <x:v>0.38</x:v>
      </x:c>
      <x:c r="R334" s="31" t="str">
        <x:v>ok</x:v>
      </x:c>
      <x:c r="S334" s="51" t="n">
        <x:v>0.9981760382652283</x:v>
      </x:c>
      <x:c r="T334" s="31" t="str">
        <x:v>https://mp.weixin.qq.com/s?__biz=MzUxOTMxNjk0OQ==&amp;mid=2247504903&amp;idx=4&amp;sn=b33a7e02742bad6b3fe0585e8cf79f2e&amp;chksm=f9f9e0bdce8e69ab3abcc3b72e330a8a03237d4b1c47464fb04f00f840cd01e20b776ad03fc8#rd</x:v>
      </x:c>
    </x:row>
    <x:row r="335">
      <x:c r="A335" s="36" t="d">
        <x:v>2025-11-30T00:00:00.000Z</x:v>
      </x:c>
      <x:c r="B335" s="48" t="n">
        <x:v>84.86</x:v>
      </x:c>
      <x:c r="C335" s="48" t="n">
        <x:v>50.59</x:v>
      </x:c>
      <x:c r="D335" s="48" t="n">
        <x:v>80.12</x:v>
      </x:c>
      <x:c r="E335" s="48" t="n">
        <x:v>52.28</x:v>
      </x:c>
      <x:c r="F335" s="48" t="n">
        <x:v>800</x:v>
      </x:c>
      <x:c r="G335" s="48" t="n">
        <x:v>40</x:v>
      </x:c>
      <x:c r="H335" s="48" t="n">
        <x:v>800</x:v>
      </x:c>
      <x:c r="I335" s="48" t="n">
        <x:v>40</x:v>
      </x:c>
      <x:c r="J335" s="48" t="n">
        <x:v>800</x:v>
      </x:c>
      <x:c r="K335" s="48" t="n">
        <x:v>40</x:v>
      </x:c>
      <x:c r="L335" s="48" t="n">
        <x:v>800</x:v>
      </x:c>
      <x:c r="M335" s="48" t="n">
        <x:v>40</x:v>
      </x:c>
      <x:c r="N335" s="48" t="n">
        <x:v>0.65</x:v>
      </x:c>
      <x:c r="O335" s="48" t="n">
        <x:v>0.27</x:v>
      </x:c>
      <x:c r="P335" s="48" t="n">
        <x:v>0.63</x:v>
      </x:c>
      <x:c r="Q335" s="48" t="n">
        <x:v>0.25</x:v>
      </x:c>
      <x:c r="R335" s="31" t="str">
        <x:v>ok</x:v>
      </x:c>
      <x:c r="S335" s="51" t="n">
        <x:v>0.9999537467956543</x:v>
      </x:c>
      <x:c r="T335" s="31" t="str">
        <x:v>https://mp.weixin.qq.com/s?__biz=MzUxOTMxNjk0OQ==&amp;mid=2247504907&amp;idx=2&amp;sn=32cf5f374d87963e7b5c98561b52de3d&amp;chksm=f9f9e0b1ce8e69a7d475a54a0776bec3e07643d5f2fbec1b38b4ca4cf7e8a195a2b0c79f6c50#rd</x:v>
      </x:c>
    </x:row>
    <x:row r="336">
      <x:c r="A336" s="36" t="d">
        <x:v>2025-12-01T00:00:00.000Z</x:v>
      </x:c>
      <x:c r="B336" s="48" t="n">
        <x:v>209.18</x:v>
      </x:c>
      <x:c r="C336" s="48" t="n">
        <x:v>52.36</x:v>
      </x:c>
      <x:c r="D336" s="48" t="n">
        <x:v>152.18</x:v>
      </x:c>
      <x:c r="E336" s="48" t="n">
        <x:v>55.91</x:v>
      </x:c>
      <x:c r="F336" s="48" t="n">
        <x:v>425</x:v>
      </x:c>
      <x:c r="G336" s="48" t="n">
        <x:v>40</x:v>
      </x:c>
      <x:c r="H336" s="48" t="n">
        <x:v>425</x:v>
      </x:c>
      <x:c r="I336" s="48" t="n">
        <x:v>40</x:v>
      </x:c>
      <x:c r="J336" s="48" t="n">
        <x:v>373</x:v>
      </x:c>
      <x:c r="K336" s="48" t="n">
        <x:v>40</x:v>
      </x:c>
      <x:c r="L336" s="48" t="n">
        <x:v>373</x:v>
      </x:c>
      <x:c r="M336" s="48" t="n">
        <x:v>40</x:v>
      </x:c>
      <x:c r="N336" s="48" t="n">
        <x:v>0.69</x:v>
      </x:c>
      <x:c r="O336" s="48" t="n">
        <x:v>0.36</x:v>
      </x:c>
      <x:c r="P336" s="48" t="n">
        <x:v>0.7</x:v>
      </x:c>
      <x:c r="Q336" s="48" t="n">
        <x:v>0.32</x:v>
      </x:c>
      <x:c r="R336" s="31" t="str">
        <x:v>ok</x:v>
      </x:c>
      <x:c r="S336" s="51" t="n">
        <x:v>0.9999971389770508</x:v>
      </x:c>
      <x:c r="T336" s="31" t="str">
        <x:v>https://mp.weixin.qq.com/s?__biz=MzUxOTMxNjk0OQ==&amp;mid=2247504913&amp;idx=1&amp;sn=96dfd42bc0ac0d46c7a75892f0e5e395&amp;chksm=f9f9e0abce8e69bdb26c833b64e1b2b9d4e32d8d524722d81bf7caa85cb80353029e32b43189#rd</x:v>
      </x:c>
    </x:row>
    <x:row r="337">
      <x:c r="A337" s="36" t="d">
        <x:v>2025-12-02T00:00:00.000Z</x:v>
      </x:c>
      <x:c r="B337" s="48" t="n">
        <x:v>273.51</x:v>
      </x:c>
      <x:c r="C337" s="48" t="n">
        <x:v>57.57</x:v>
      </x:c>
      <x:c r="D337" s="48" t="n">
        <x:v>290.56</x:v>
      </x:c>
      <x:c r="E337" s="48" t="n">
        <x:v>68.11</x:v>
      </x:c>
      <x:c r="F337" s="48" t="n">
        <x:v>1000</x:v>
      </x:c>
      <x:c r="G337" s="48" t="n">
        <x:v>40</x:v>
      </x:c>
      <x:c r="H337" s="48" t="n">
        <x:v>1000</x:v>
      </x:c>
      <x:c r="I337" s="48" t="n">
        <x:v>40</x:v>
      </x:c>
      <x:c r="J337" s="48" t="n">
        <x:v>1000</x:v>
      </x:c>
      <x:c r="K337" s="48" t="n">
        <x:v>40</x:v>
      </x:c>
      <x:c r="L337" s="48" t="n">
        <x:v>1000</x:v>
      </x:c>
      <x:c r="M337" s="48" t="n">
        <x:v>40</x:v>
      </x:c>
      <x:c r="N337" s="48" t="n">
        <x:v>0.41</x:v>
      </x:c>
      <x:c r="O337" s="48" t="n">
        <x:v>0.44</x:v>
      </x:c>
      <x:c r="P337" s="48" t="n">
        <x:v>0.41</x:v>
      </x:c>
      <x:c r="Q337" s="48" t="n">
        <x:v>0.5</x:v>
      </x:c>
      <x:c r="R337" s="31" t="str">
        <x:v>ok</x:v>
      </x:c>
      <x:c r="S337" s="51" t="n">
        <x:v>0.9997137784957886</x:v>
      </x:c>
      <x:c r="T337" s="31" t="str">
        <x:v>https://mp.weixin.qq.com/s?__biz=MzUxOTMxNjk0OQ==&amp;mid=2247504990&amp;idx=1&amp;sn=3cf87f5ad5700771d1d4ae1bba845ebd&amp;chksm=f9f9e0e4ce8e69f2b073fde8d14836f64cf44afdf11fbc2f28ef86287edd713bfc0834923b49#rd</x:v>
      </x:c>
    </x:row>
    <x:row r="338">
      <x:c r="A338" s="36" t="d">
        <x:v>2025-12-03T00:00:00.000Z</x:v>
      </x:c>
      <x:c r="B338" s="48" t="n">
        <x:v>282.52</x:v>
      </x:c>
      <x:c r="C338" s="48" t="n">
        <x:v>60.17</x:v>
      </x:c>
      <x:c r="D338" s="48" t="n">
        <x:v>315.84</x:v>
      </x:c>
      <x:c r="E338" s="48" t="n">
        <x:v>59.35</x:v>
      </x:c>
      <x:c r="F338" s="48" t="n">
        <x:v>600</x:v>
      </x:c>
      <x:c r="G338" s="48" t="n">
        <x:v>40</x:v>
      </x:c>
      <x:c r="H338" s="48" t="n">
        <x:v>600</x:v>
      </x:c>
      <x:c r="I338" s="48" t="n">
        <x:v>40</x:v>
      </x:c>
      <x:c r="J338" s="48" t="n">
        <x:v>1000</x:v>
      </x:c>
      <x:c r="K338" s="48" t="n">
        <x:v>40</x:v>
      </x:c>
      <x:c r="L338" s="48" t="n">
        <x:v>1000</x:v>
      </x:c>
      <x:c r="M338" s="48" t="n">
        <x:v>40</x:v>
      </x:c>
      <x:c r="N338" s="48" t="n">
        <x:v>0.38</x:v>
      </x:c>
      <x:c r="O338" s="48" t="n">
        <x:v>0.45</x:v>
      </x:c>
      <x:c r="P338" s="48" t="n">
        <x:v>0.36</x:v>
      </x:c>
      <x:c r="Q338" s="48" t="n">
        <x:v>0.43</x:v>
      </x:c>
      <x:c r="R338" s="31" t="str">
        <x:v>ok</x:v>
      </x:c>
      <x:c r="S338" s="51" t="n">
        <x:v>0.9971787333488464</x:v>
      </x:c>
      <x:c r="T338" s="31" t="str">
        <x:v>https://mp.weixin.qq.com/s?__biz=MzUxOTMxNjk0OQ==&amp;mid=2247505003&amp;idx=1&amp;sn=502bb342bc5d252b6ca571e26cf8c3d7&amp;chksm=f9f9e0d1ce8e69c7da707eda0c448661bc527883bc78c320ebdd8fb4427769d18a2b8af6960a#rd</x:v>
      </x:c>
    </x:row>
    <x:row r="339">
      <x:c r="A339" s="36" t="d">
        <x:v>2025-12-04T00:00:00.000Z</x:v>
      </x:c>
      <x:c r="B339" s="48" t="n">
        <x:v>250.6</x:v>
      </x:c>
      <x:c r="C339" s="48" t="n">
        <x:v>54.26</x:v>
      </x:c>
      <x:c r="D339" s="48" t="n">
        <x:v>248.97</x:v>
      </x:c>
      <x:c r="E339" s="48" t="n">
        <x:v>67.91</x:v>
      </x:c>
      <x:c r="F339" s="48" t="n">
        <x:v>650</x:v>
      </x:c>
      <x:c r="G339" s="48" t="n">
        <x:v>40</x:v>
      </x:c>
      <x:c r="H339" s="48" t="n">
        <x:v>790.18</x:v>
      </x:c>
      <x:c r="I339" s="48" t="n">
        <x:v>40</x:v>
      </x:c>
      <x:c r="J339" s="48" t="n">
        <x:v>1000</x:v>
      </x:c>
      <x:c r="K339" s="48" t="n">
        <x:v>40</x:v>
      </x:c>
      <x:c r="L339" s="48" t="n">
        <x:v>1000</x:v>
      </x:c>
      <x:c r="M339" s="48" t="n">
        <x:v>40</x:v>
      </x:c>
      <x:c r="N339" s="48" t="n">
        <x:v>0.25</x:v>
      </x:c>
      <x:c r="O339" s="48" t="n">
        <x:v>0.49</x:v>
      </x:c>
      <x:c r="P339" s="48" t="n">
        <x:v>0.29</x:v>
      </x:c>
      <x:c r="Q339" s="48" t="n">
        <x:v>0.48</x:v>
      </x:c>
      <x:c r="R339" s="31" t="str">
        <x:v>ok</x:v>
      </x:c>
      <x:c r="S339" s="51" t="n">
        <x:v>0.9507707953453064</x:v>
      </x:c>
      <x:c r="T339" s="31" t="str">
        <x:v>https://mp.weixin.qq.com/s?__biz=MzUxOTMxNjk0OQ==&amp;mid=2247505060&amp;idx=1&amp;sn=2736bd0be1ed5f49ad4330e37d0807f5&amp;chksm=f9f9e01ece8e69085f849d18e54deef250832d26b3a26930e5896293392e7928b448ca550af8#rd</x:v>
      </x:c>
    </x:row>
    <x:row r="340">
      <x:c r="A340" s="36" t="d">
        <x:v>2025-12-05T00:00:00.000Z</x:v>
      </x:c>
      <x:c r="B340" s="48" t="n">
        <x:v>84.08</x:v>
      </x:c>
      <x:c r="C340" s="48" t="n">
        <x:v>49.35</x:v>
      </x:c>
      <x:c r="D340" s="48" t="n">
        <x:v>62.32</x:v>
      </x:c>
      <x:c r="E340" s="48" t="n">
        <x:v>50.19</x:v>
      </x:c>
      <x:c r="F340" s="48" t="n">
        <x:v>550</x:v>
      </x:c>
      <x:c r="G340" s="48" t="n">
        <x:v>40</x:v>
      </x:c>
      <x:c r="H340" s="48" t="n">
        <x:v>550</x:v>
      </x:c>
      <x:c r="I340" s="48" t="n">
        <x:v>40</x:v>
      </x:c>
      <x:c r="J340" s="48" t="n">
        <x:v>738.53</x:v>
      </x:c>
      <x:c r="K340" s="48" t="n">
        <x:v>40</x:v>
      </x:c>
      <x:c r="L340" s="48" t="n">
        <x:v>938.77</x:v>
      </x:c>
      <x:c r="M340" s="48" t="n">
        <x:v>40</x:v>
      </x:c>
      <x:c r="N340" s="48" t="n">
        <x:v>0.83</x:v>
      </x:c>
      <x:c r="O340" s="48" t="n">
        <x:v>0.39</x:v>
      </x:c>
      <x:c r="P340" s="48" t="n">
        <x:v>0.82</x:v>
      </x:c>
      <x:c r="Q340" s="48" t="n">
        <x:v>0.37</x:v>
      </x:c>
      <x:c r="R340" s="31" t="str">
        <x:v>ok</x:v>
      </x:c>
      <x:c r="S340" s="51" t="n">
        <x:v>0.9426900744438171</x:v>
      </x:c>
      <x:c r="T340" s="31" t="str">
        <x:v>https://mp.weixin.qq.com/s?__biz=MzUxOTMxNjk0OQ==&amp;mid=2247505066&amp;idx=1&amp;sn=531f5c8e3248eb686991901058126d65&amp;chksm=f9f9e010ce8e69066a04d450de22a8c8121bf86af0f28e8ac3cf15af2de129b9eee55e97d244#rd</x:v>
      </x:c>
    </x:row>
    <x:row r="341">
      <x:c r="A341" s="36" t="d">
        <x:v>2025-12-06T00:00:00.000Z</x:v>
      </x:c>
      <x:c r="B341" s="48" t="n">
        <x:v>83.63</x:v>
      </x:c>
      <x:c r="C341" s="48" t="n">
        <x:v>49.89</x:v>
      </x:c>
      <x:c r="D341" s="48" t="n">
        <x:v>49.88</x:v>
      </x:c>
      <x:c r="E341" s="48" t="n">
        <x:v>47.75</x:v>
      </x:c>
      <x:c r="F341" s="48" t="n">
        <x:v>1000</x:v>
      </x:c>
      <x:c r="G341" s="48" t="n">
        <x:v>40</x:v>
      </x:c>
      <x:c r="H341" s="48" t="n">
        <x:v>1000</x:v>
      </x:c>
      <x:c r="I341" s="48" t="n">
        <x:v>40</x:v>
      </x:c>
      <x:c r="J341" s="48" t="n">
        <x:v>1000</x:v>
      </x:c>
      <x:c r="K341" s="48" t="n">
        <x:v>40</x:v>
      </x:c>
      <x:c r="L341" s="48" t="n">
        <x:v>1000</x:v>
      </x:c>
      <x:c r="M341" s="48" t="n">
        <x:v>40</x:v>
      </x:c>
      <x:c r="N341" s="48" t="n">
        <x:v>0.78</x:v>
      </x:c>
      <x:c r="O341" s="48" t="n">
        <x:v>0.36</x:v>
      </x:c>
      <x:c r="P341" s="48" t="n">
        <x:v>0.84</x:v>
      </x:c>
      <x:c r="Q341" s="48" t="n">
        <x:v>0.34</x:v>
      </x:c>
      <x:c r="R341" s="31" t="str">
        <x:v>ok</x:v>
      </x:c>
      <x:c r="S341" s="51" t="n">
        <x:v>0.9983683824539185</x:v>
      </x:c>
      <x:c r="T341" s="31" t="str">
        <x:v>https://mp.weixin.qq.com/s?__biz=MzUxOTMxNjk0OQ==&amp;mid=2247505088&amp;idx=6&amp;sn=5472393bd56c2315a95421751e3490e1&amp;chksm=f9f9e07ace8e696c096bbc6eb099882f0fa9e1ef5a4999bb93bb27061512fa7afccd5b8eca95#rd</x:v>
      </x:c>
    </x:row>
    <x:row r="342">
      <x:c r="A342" s="36" t="d">
        <x:v>2025-12-07T00:00:00.000Z</x:v>
      </x:c>
      <x:c r="B342" s="48" t="n">
        <x:v>132.31</x:v>
      </x:c>
      <x:c r="C342" s="48" t="n">
        <x:v>49.84</x:v>
      </x:c>
      <x:c r="D342" s="48" t="n">
        <x:v>155.5</x:v>
      </x:c>
      <x:c r="E342" s="48" t="n">
        <x:v>49.89</x:v>
      </x:c>
      <x:c r="F342" s="48" t="n">
        <x:v>1000</x:v>
      </x:c>
      <x:c r="G342" s="48" t="n">
        <x:v>40</x:v>
      </x:c>
      <x:c r="H342" s="48" t="n">
        <x:v>1000</x:v>
      </x:c>
      <x:c r="I342" s="48" t="n">
        <x:v>40</x:v>
      </x:c>
      <x:c r="J342" s="48" t="n">
        <x:v>1000</x:v>
      </x:c>
      <x:c r="K342" s="48" t="n">
        <x:v>40</x:v>
      </x:c>
      <x:c r="L342" s="48" t="n">
        <x:v>1000</x:v>
      </x:c>
      <x:c r="M342" s="48" t="n">
        <x:v>40</x:v>
      </x:c>
      <x:c r="N342" s="48" t="n">
        <x:v>0.54</x:v>
      </x:c>
      <x:c r="O342" s="48" t="n">
        <x:v>0.46</x:v>
      </x:c>
      <x:c r="P342" s="48" t="n">
        <x:v>0.52</x:v>
      </x:c>
      <x:c r="Q342" s="48" t="n">
        <x:v>0.42</x:v>
      </x:c>
      <x:c r="R342" s="31" t="str">
        <x:v>ok</x:v>
      </x:c>
      <x:c r="S342" s="51" t="n">
        <x:v>0.943014919757843</x:v>
      </x:c>
      <x:c r="T342" s="31" t="str">
        <x:v>https://mp.weixin.qq.com/s?__biz=MzUxOTMxNjk0OQ==&amp;mid=2247505166&amp;idx=1&amp;sn=abd5e58f10a93b78da603084b92ba920&amp;chksm=f9f9e1b4ce8e68a28ae588711782c7adb92d620a8701c8b64cba51b953d84034e4ad130af7e5#rd</x:v>
      </x:c>
    </x:row>
    <x:row r="343">
      <x:c r="A343" s="36" t="d">
        <x:v>2025-12-08T00:00:00.000Z</x:v>
      </x:c>
      <x:c r="B343" s="48" t="n">
        <x:v>310.57</x:v>
      </x:c>
      <x:c r="C343" s="48" t="n">
        <x:v>53.37</x:v>
      </x:c>
      <x:c r="D343" s="48" t="n">
        <x:v>329.18</x:v>
      </x:c>
      <x:c r="E343" s="48" t="n">
        <x:v>52.79</x:v>
      </x:c>
      <x:c r="F343" s="48" t="n">
        <x:v>1000</x:v>
      </x:c>
      <x:c r="G343" s="48" t="n">
        <x:v>40</x:v>
      </x:c>
      <x:c r="H343" s="48" t="n">
        <x:v>1000</x:v>
      </x:c>
      <x:c r="I343" s="48" t="n">
        <x:v>40</x:v>
      </x:c>
      <x:c r="J343" s="48" t="n">
        <x:v>1000</x:v>
      </x:c>
      <x:c r="K343" s="48" t="n">
        <x:v>40</x:v>
      </x:c>
      <x:c r="L343" s="48" t="n">
        <x:v>1000</x:v>
      </x:c>
      <x:c r="M343" s="48" t="n">
        <x:v>40</x:v>
      </x:c>
      <x:c r="N343" s="48" t="n">
        <x:v>0.38</x:v>
      </x:c>
      <x:c r="O343" s="48" t="n">
        <x:v>0.45</x:v>
      </x:c>
      <x:c r="P343" s="48" t="n">
        <x:v>0.28</x:v>
      </x:c>
      <x:c r="Q343" s="48" t="n">
        <x:v>0.42</x:v>
      </x:c>
      <x:c r="R343" s="31" t="str">
        <x:v>ok</x:v>
      </x:c>
      <x:c r="S343" s="51" t="n">
        <x:v>0.9967212677001953</x:v>
      </x:c>
      <x:c r="T343" s="31" t="str">
        <x:v>https://mp.weixin.qq.com/s?__biz=MzUxOTMxNjk0OQ==&amp;mid=2247505170&amp;idx=1&amp;sn=defbfeb3525bb475a61e0cbf15158a4a&amp;chksm=f9f9e1a8ce8e68bedef7a163f526c2a0574d57aae8c7076d6ff90600beacf425de9e00ccff6e#rd</x:v>
      </x:c>
    </x:row>
    <x:row r="344">
      <x:c r="A344" s="36" t="d">
        <x:v>2025-12-09T00:00:00.000Z</x:v>
      </x:c>
      <x:c r="B344" s="48" t="n">
        <x:v>213.98</x:v>
      </x:c>
      <x:c r="C344" s="48" t="n">
        <x:v>51.65</x:v>
      </x:c>
      <x:c r="D344" s="48" t="n">
        <x:v>250.89</x:v>
      </x:c>
      <x:c r="E344" s="48" t="n">
        <x:v>60.7</x:v>
      </x:c>
      <x:c r="F344" s="48" t="n">
        <x:v>550</x:v>
      </x:c>
      <x:c r="G344" s="48" t="n">
        <x:v>40</x:v>
      </x:c>
      <x:c r="H344" s="48" t="n">
        <x:v>645.97</x:v>
      </x:c>
      <x:c r="I344" s="48" t="n">
        <x:v>40</x:v>
      </x:c>
      <x:c r="J344" s="48" t="n">
        <x:v>1000</x:v>
      </x:c>
      <x:c r="K344" s="48" t="n">
        <x:v>40</x:v>
      </x:c>
      <x:c r="L344" s="48" t="n">
        <x:v>1000</x:v>
      </x:c>
      <x:c r="M344" s="48" t="n">
        <x:v>40</x:v>
      </x:c>
      <x:c r="N344" s="48" t="n">
        <x:v>0.5</x:v>
      </x:c>
      <x:c r="O344" s="48" t="n">
        <x:v>0.46</x:v>
      </x:c>
      <x:c r="P344" s="48" t="n">
        <x:v>0.43</x:v>
      </x:c>
      <x:c r="Q344" s="48" t="n">
        <x:v>0.43</x:v>
      </x:c>
      <x:c r="R344" s="31" t="str">
        <x:v>ok</x:v>
      </x:c>
      <x:c r="S344" s="51" t="n">
        <x:v>0.999986469745636</x:v>
      </x:c>
      <x:c r="T344" s="31" t="str">
        <x:v>https://mp.weixin.qq.com/s?__biz=MzUxOTMxNjk0OQ==&amp;mid=2247505180&amp;idx=1&amp;sn=856c601c429b885f032a9066f56ea368&amp;chksm=f9f9e1a6ce8e68b060e63841f61dafcf1f7557e9439cd105dd646ec237393f3614fcab9b5f0b#rd</x:v>
      </x:c>
    </x:row>
    <x:row r="345">
      <x:c r="A345" s="36" t="d">
        <x:v>2025-12-10T00:00:00.000Z</x:v>
      </x:c>
      <x:c r="B345" s="48" t="n">
        <x:v>185.85</x:v>
      </x:c>
      <x:c r="C345" s="48" t="n">
        <x:v>49.82</x:v>
      </x:c>
      <x:c r="D345" s="48" t="n">
        <x:v>193.81</x:v>
      </x:c>
      <x:c r="E345" s="48" t="n">
        <x:v>47.73</x:v>
      </x:c>
      <x:c r="F345" s="48" t="n">
        <x:v>800</x:v>
      </x:c>
      <x:c r="G345" s="48" t="n">
        <x:v>40</x:v>
      </x:c>
      <x:c r="H345" s="48" t="n">
        <x:v>800</x:v>
      </x:c>
      <x:c r="I345" s="48" t="n">
        <x:v>40</x:v>
      </x:c>
      <x:c r="J345" s="48" t="n">
        <x:v>1000</x:v>
      </x:c>
      <x:c r="K345" s="48" t="n">
        <x:v>40</x:v>
      </x:c>
      <x:c r="L345" s="48" t="n">
        <x:v>1000</x:v>
      </x:c>
      <x:c r="M345" s="48" t="n">
        <x:v>40</x:v>
      </x:c>
      <x:c r="N345" s="48" t="n">
        <x:v>0.45</x:v>
      </x:c>
      <x:c r="O345" s="48" t="n">
        <x:v>0.35</x:v>
      </x:c>
      <x:c r="P345" s="48" t="n">
        <x:v>0.49</x:v>
      </x:c>
      <x:c r="Q345" s="48" t="n">
        <x:v>0.3</x:v>
      </x:c>
      <x:c r="R345" s="31" t="str">
        <x:v>ok</x:v>
      </x:c>
      <x:c r="S345" s="51" t="n">
        <x:v>0.9969878792762756</x:v>
      </x:c>
      <x:c r="T345" s="31" t="str">
        <x:v>https://mp.weixin.qq.com/s?__biz=MzUxOTMxNjk0OQ==&amp;mid=2247505184&amp;idx=1&amp;sn=c53818b2bb935531141ab86f5a1783d2&amp;chksm=f9f9e19ace8e688ccbdecc9ad48a5f0c4033af483c5f4d9367c85ee462ed2ed1fddc905629b3#rd</x:v>
      </x:c>
    </x:row>
    <x:row r="346">
      <x:c r="A346" s="36" t="d">
        <x:v>2025-12-11T00:00:00.000Z</x:v>
      </x:c>
      <x:c r="B346" s="48" t="n">
        <x:v>75.47</x:v>
      </x:c>
      <x:c r="C346" s="48" t="n">
        <x:v>45.67</x:v>
      </x:c>
      <x:c r="D346" s="48" t="n">
        <x:v>95.04</x:v>
      </x:c>
      <x:c r="E346" s="48" t="n">
        <x:v>46.69</x:v>
      </x:c>
      <x:c r="F346" s="48" t="n">
        <x:v>308</x:v>
      </x:c>
      <x:c r="G346" s="48" t="n">
        <x:v>40</x:v>
      </x:c>
      <x:c r="H346" s="48" t="n">
        <x:v>308</x:v>
      </x:c>
      <x:c r="I346" s="48" t="n">
        <x:v>40</x:v>
      </x:c>
      <x:c r="J346" s="48" t="n">
        <x:v>318</x:v>
      </x:c>
      <x:c r="K346" s="48" t="n">
        <x:v>40</x:v>
      </x:c>
      <x:c r="L346" s="48" t="n">
        <x:v>939.56</x:v>
      </x:c>
      <x:c r="M346" s="48" t="n">
        <x:v>40</x:v>
      </x:c>
      <x:c r="N346" s="48" t="n">
        <x:v>0.83</x:v>
      </x:c>
      <x:c r="O346" s="48" t="n">
        <x:v>0.34</x:v>
      </x:c>
      <x:c r="P346" s="48" t="n">
        <x:v>0.77</x:v>
      </x:c>
      <x:c r="Q346" s="48" t="n">
        <x:v>0.33</x:v>
      </x:c>
      <x:c r="R346" s="31" t="str">
        <x:v>ok</x:v>
      </x:c>
      <x:c r="S346" s="51" t="n">
        <x:v>0.9999948740005493</x:v>
      </x:c>
      <x:c r="T346" s="31" t="str">
        <x:v>https://mp.weixin.qq.com/s?__biz=MzUxOTMxNjk0OQ==&amp;mid=2247505204&amp;idx=1&amp;sn=13156aafc6635eefda58bc7dc7763b01&amp;chksm=f9f9e18ece8e6898f48bcd6634b982d958e08b9b62a0d1d315af1f52e0fe0885fef37cc9eec6#rd</x:v>
      </x:c>
    </x:row>
    <x:row r="347">
      <x:c r="A347" s="36" t="d">
        <x:v>2025-12-12T00:00:00.000Z</x:v>
      </x:c>
      <x:c r="B347" s="48" t="n">
        <x:v>94.88</x:v>
      </x:c>
      <x:c r="C347" s="48" t="n">
        <x:v>94.14</x:v>
      </x:c>
      <x:c r="D347" s="48" t="n">
        <x:v>101.09</x:v>
      </x:c>
      <x:c r="E347" s="48" t="n">
        <x:v>242.76</x:v>
      </x:c>
      <x:c r="F347" s="48" t="n">
        <x:v>969.12</x:v>
      </x:c>
      <x:c r="G347" s="48" t="n">
        <x:v>40</x:v>
      </x:c>
      <x:c r="H347" s="48" t="n">
        <x:v>1000</x:v>
      </x:c>
      <x:c r="I347" s="48" t="n">
        <x:v>40</x:v>
      </x:c>
      <x:c r="J347" s="48" t="n">
        <x:v>1000</x:v>
      </x:c>
      <x:c r="K347" s="48" t="n">
        <x:v>40</x:v>
      </x:c>
      <x:c r="L347" s="48" t="n">
        <x:v>1000</x:v>
      </x:c>
      <x:c r="M347" s="48" t="n">
        <x:v>40</x:v>
      </x:c>
      <x:c r="N347" s="48" t="n">
        <x:v>1.09</x:v>
      </x:c>
      <x:c r="O347" s="48" t="n">
        <x:v>0.15</x:v>
      </x:c>
      <x:c r="P347" s="48" t="n">
        <x:v>1</x:v>
      </x:c>
      <x:c r="Q347" s="48" t="n">
        <x:v>0.09</x:v>
      </x:c>
      <x:c r="R347" s="31" t="str">
        <x:v>ok</x:v>
      </x:c>
      <x:c r="S347" s="51" t="n">
        <x:v>0.9990931749343872</x:v>
      </x:c>
      <x:c r="T347" s="31" t="str">
        <x:v>https://mp.weixin.qq.com/s?__biz=MzUxOTMxNjk0OQ==&amp;mid=2247505210&amp;idx=1&amp;sn=71ee992afedcedfd19b5fa86ae7bfe8b&amp;chksm=f9f9e180ce8e689610374d0fd4c94a29eaebbaed93063044124ee84e197041cd78fec18f30bb#rd</x:v>
      </x:c>
    </x:row>
    <x:row r="348">
      <x:c r="A348" s="36" t="d">
        <x:v>2025-12-13T00:00:00.000Z</x:v>
      </x:c>
      <x:c r="B348" s="48" t="n">
        <x:v>153.99</x:v>
      </x:c>
      <x:c r="C348" s="48" t="n">
        <x:v>53.14</x:v>
      </x:c>
      <x:c r="D348" s="48" t="n">
        <x:v>134.39</x:v>
      </x:c>
      <x:c r="E348" s="48" t="n">
        <x:v>67.48</x:v>
      </x:c>
      <x:c r="F348" s="48" t="n">
        <x:v>967</x:v>
      </x:c>
      <x:c r="G348" s="48" t="n">
        <x:v>40</x:v>
      </x:c>
      <x:c r="H348" s="48" t="n">
        <x:v>967</x:v>
      </x:c>
      <x:c r="I348" s="48" t="n">
        <x:v>40</x:v>
      </x:c>
      <x:c r="J348" s="48" t="n">
        <x:v>967</x:v>
      </x:c>
      <x:c r="K348" s="48" t="n">
        <x:v>40</x:v>
      </x:c>
      <x:c r="L348" s="48" t="n">
        <x:v>1000</x:v>
      </x:c>
      <x:c r="M348" s="48" t="n">
        <x:v>40</x:v>
      </x:c>
      <x:c r="N348" s="48" t="n">
        <x:v>0.67</x:v>
      </x:c>
      <x:c r="O348" s="48" t="n">
        <x:v>0.39</x:v>
      </x:c>
      <x:c r="P348" s="48" t="n">
        <x:v>0.68</x:v>
      </x:c>
      <x:c r="Q348" s="48" t="n">
        <x:v>0.41</x:v>
      </x:c>
      <x:c r="R348" s="31" t="str">
        <x:v>ok</x:v>
      </x:c>
      <x:c r="S348" s="51" t="n">
        <x:v>0.999984860420227</x:v>
      </x:c>
      <x:c r="T348" s="31" t="str">
        <x:v>https://mp.weixin.qq.com/s?__biz=MzUxOTMxNjk0OQ==&amp;mid=2247505214&amp;idx=1&amp;sn=1eaf6a308b5ebe6055c31664ae78fab5&amp;chksm=f9f9e184ce8e68923140f8e9161f4fac3721b700e0c793fc266fd7ff9779ab382d0ed3ef0423#rd</x:v>
      </x:c>
    </x:row>
    <x:row r="349">
      <x:c r="A349" s="36" t="d">
        <x:v>2025-12-14T00:00:00.000Z</x:v>
      </x:c>
      <x:c r="B349" s="48" t="n">
        <x:v>198.06</x:v>
      </x:c>
      <x:c r="C349" s="48" t="n">
        <x:v>44.93</x:v>
      </x:c>
      <x:c r="D349" s="48" t="n">
        <x:v>147.64</x:v>
      </x:c>
      <x:c r="E349" s="48" t="n">
        <x:v>51.2</x:v>
      </x:c>
      <x:c r="F349" s="48" t="n">
        <x:v>954</x:v>
      </x:c>
      <x:c r="G349" s="48" t="n">
        <x:v>40</x:v>
      </x:c>
      <x:c r="H349" s="48" t="n">
        <x:v>954</x:v>
      </x:c>
      <x:c r="I349" s="48" t="n">
        <x:v>40</x:v>
      </x:c>
      <x:c r="J349" s="48" t="n">
        <x:v>350</x:v>
      </x:c>
      <x:c r="K349" s="48" t="n">
        <x:v>40</x:v>
      </x:c>
      <x:c r="L349" s="48" t="n">
        <x:v>350</x:v>
      </x:c>
      <x:c r="M349" s="48" t="n">
        <x:v>40</x:v>
      </x:c>
      <x:c r="N349" s="48" t="n">
        <x:v>0.56</x:v>
      </x:c>
      <x:c r="O349" s="48" t="n">
        <x:v>0.39</x:v>
      </x:c>
      <x:c r="P349" s="48" t="n">
        <x:v>0.63</x:v>
      </x:c>
      <x:c r="Q349" s="48" t="n">
        <x:v>0.39</x:v>
      </x:c>
      <x:c r="R349" s="31" t="str">
        <x:v>ok</x:v>
      </x:c>
      <x:c r="S349" s="51" t="n">
        <x:v>0.9999974966049194</x:v>
      </x:c>
      <x:c r="T349" s="31" t="str">
        <x:v>https://mp.weixin.qq.com/s?__biz=MzUxOTMxNjk0OQ==&amp;mid=2247505246&amp;idx=1&amp;sn=55b2f43d2db4ee8751d5ea468f22314d&amp;chksm=f9f9e1e4ce8e68f2dc34016e55556d90ee3cc0922d9d68d225dc0d1a8e9955060707b497e66e#rd</x:v>
      </x:c>
    </x:row>
    <x:row r="350">
      <x:c r="A350" s="36" t="d">
        <x:v>2025-12-15T00:00:00.000Z</x:v>
      </x:c>
      <x:c r="B350" s="48" t="n">
        <x:v>254.07</x:v>
      </x:c>
      <x:c r="C350" s="48" t="n">
        <x:v>57.38</x:v>
      </x:c>
      <x:c r="D350" s="48" t="n">
        <x:v>178.82</x:v>
      </x:c>
      <x:c r="E350" s="48" t="n">
        <x:v>62.54</x:v>
      </x:c>
      <x:c r="F350" s="48" t="n">
        <x:v>888</x:v>
      </x:c>
      <x:c r="G350" s="48" t="n">
        <x:v>40</x:v>
      </x:c>
      <x:c r="H350" s="48" t="n">
        <x:v>1000</x:v>
      </x:c>
      <x:c r="I350" s="48" t="n">
        <x:v>40</x:v>
      </x:c>
      <x:c r="J350" s="48" t="n">
        <x:v>1000</x:v>
      </x:c>
      <x:c r="K350" s="48" t="n">
        <x:v>40</x:v>
      </x:c>
      <x:c r="L350" s="48" t="n">
        <x:v>1000</x:v>
      </x:c>
      <x:c r="M350" s="48" t="n">
        <x:v>40</x:v>
      </x:c>
      <x:c r="N350" s="48" t="n">
        <x:v>0.34</x:v>
      </x:c>
      <x:c r="O350" s="48" t="n">
        <x:v>0.47</x:v>
      </x:c>
      <x:c r="P350" s="48" t="n">
        <x:v>0.34</x:v>
      </x:c>
      <x:c r="Q350" s="48" t="n">
        <x:v>0.46</x:v>
      </x:c>
      <x:c r="R350" s="31" t="str">
        <x:v>ok</x:v>
      </x:c>
      <x:c r="S350" s="51" t="n">
        <x:v>0.9617962837219238</x:v>
      </x:c>
      <x:c r="T350" s="31" t="str">
        <x:v>https://mp.weixin.qq.com/s?__biz=MzUxOTMxNjk0OQ==&amp;mid=2247505322&amp;idx=3&amp;sn=47909e01e3fcf3e18a3cab53919b9afd&amp;chksm=f9f9e110ce8e6806191bf048e7480d3f872424f8f6c9f51fd7ba89c7a068ab9efcbda7b9eff7#rd</x:v>
      </x:c>
    </x:row>
    <x:row r="351">
      <x:c r="A351" s="36" t="d">
        <x:v>2025-12-16T00:00:00.000Z</x:v>
      </x:c>
      <x:c r="B351" s="48" t="n">
        <x:v>225.38</x:v>
      </x:c>
      <x:c r="C351" s="48" t="n">
        <x:v>50.71</x:v>
      </x:c>
      <x:c r="D351" s="48" t="n">
        <x:v>217.47</x:v>
      </x:c>
      <x:c r="E351" s="48" t="n">
        <x:v>53.09</x:v>
      </x:c>
      <x:c r="F351" s="48" t="n">
        <x:v>899</x:v>
      </x:c>
      <x:c r="G351" s="48" t="n">
        <x:v>40</x:v>
      </x:c>
      <x:c r="H351" s="48" t="n">
        <x:v>1000</x:v>
      </x:c>
      <x:c r="I351" s="48" t="n">
        <x:v>40</x:v>
      </x:c>
      <x:c r="J351" s="48" t="n">
        <x:v>899</x:v>
      </x:c>
      <x:c r="K351" s="48" t="n">
        <x:v>40</x:v>
      </x:c>
      <x:c r="L351" s="48" t="n">
        <x:v>1000</x:v>
      </x:c>
      <x:c r="M351" s="48" t="n">
        <x:v>40</x:v>
      </x:c>
      <x:c r="N351" s="48" t="n">
        <x:v>0.45</x:v>
      </x:c>
      <x:c r="O351" s="48" t="n">
        <x:v>0.41</x:v>
      </x:c>
      <x:c r="P351" s="48" t="n">
        <x:v>0.5</x:v>
      </x:c>
      <x:c r="Q351" s="48" t="n">
        <x:v>0.38</x:v>
      </x:c>
      <x:c r="R351" s="31" t="str">
        <x:v>ok</x:v>
      </x:c>
      <x:c r="S351" s="51" t="n">
        <x:v>0.9999806880950928</x:v>
      </x:c>
      <x:c r="T351" s="31" t="str">
        <x:v>https://mp.weixin.qq.com/s?__biz=MzUxOTMxNjk0OQ==&amp;mid=2247505346&amp;idx=1&amp;sn=270b72253de66a8d22e2411675edc5f9&amp;chksm=f9f9e178ce8e686e8151f56ababbf3a334d4f966de9eabe8fe702ab3960dd54538fa1a62fdb4#rd</x:v>
      </x:c>
    </x:row>
    <x:row r="352">
      <x:c r="A352" s="36" t="d">
        <x:v>2025-12-17T00:00:00.000Z</x:v>
      </x:c>
      <x:c r="B352" s="48" t="n">
        <x:v>127.12</x:v>
      </x:c>
      <x:c r="C352" s="48" t="n">
        <x:v>59.38</x:v>
      </x:c>
      <x:c r="D352" s="48" t="n">
        <x:v>154.24</x:v>
      </x:c>
      <x:c r="E352" s="48" t="n">
        <x:v>60.55</x:v>
      </x:c>
      <x:c r="F352" s="48" t="n">
        <x:v>990</x:v>
      </x:c>
      <x:c r="G352" s="48" t="n">
        <x:v>40</x:v>
      </x:c>
      <x:c r="H352" s="48" t="n">
        <x:v>990</x:v>
      </x:c>
      <x:c r="I352" s="48" t="n">
        <x:v>40</x:v>
      </x:c>
      <x:c r="J352" s="48" t="n">
        <x:v>990</x:v>
      </x:c>
      <x:c r="K352" s="48" t="n">
        <x:v>40</x:v>
      </x:c>
      <x:c r="L352" s="48" t="n">
        <x:v>990</x:v>
      </x:c>
      <x:c r="M352" s="48" t="n">
        <x:v>40</x:v>
      </x:c>
      <x:c r="N352" s="48" t="n">
        <x:v>0.59</x:v>
      </x:c>
      <x:c r="O352" s="48" t="n">
        <x:v>0.42</x:v>
      </x:c>
      <x:c r="P352" s="48" t="n">
        <x:v>0.58</x:v>
      </x:c>
      <x:c r="Q352" s="48" t="n">
        <x:v>0.38</x:v>
      </x:c>
      <x:c r="R352" s="31" t="str">
        <x:v>ok</x:v>
      </x:c>
      <x:c r="S352" s="51" t="n">
        <x:v>0.999994695186615</x:v>
      </x:c>
      <x:c r="T352" s="31" t="str">
        <x:v>https://mp.weixin.qq.com/s?__biz=MzUxOTMxNjk0OQ==&amp;mid=2247505370&amp;idx=1&amp;sn=7b175e43697baf757635b1ff8779b8ba&amp;chksm=f9f9e160ce8e6876e31ada851f86476d5e6c9aeaa3afabade7ec0299733778b452ecca294aee#rd</x:v>
      </x:c>
    </x:row>
    <x:row r="353">
      <x:c r="A353" s="36" t="d">
        <x:v>2025-12-18T00:00:00.000Z</x:v>
      </x:c>
      <x:c r="B353" s="48" t="n">
        <x:v>209.99</x:v>
      </x:c>
      <x:c r="C353" s="48" t="n">
        <x:v>52.28</x:v>
      </x:c>
      <x:c r="D353" s="48" t="n">
        <x:v>153.33</x:v>
      </x:c>
      <x:c r="E353" s="48" t="n">
        <x:v>71.73</x:v>
      </x:c>
      <x:c r="F353" s="48" t="n">
        <x:v>999</x:v>
      </x:c>
      <x:c r="G353" s="48" t="n">
        <x:v>40</x:v>
      </x:c>
      <x:c r="H353" s="48" t="n">
        <x:v>999</x:v>
      </x:c>
      <x:c r="I353" s="48" t="n">
        <x:v>40</x:v>
      </x:c>
      <x:c r="J353" s="48" t="n">
        <x:v>999</x:v>
      </x:c>
      <x:c r="K353" s="48" t="n">
        <x:v>40</x:v>
      </x:c>
      <x:c r="L353" s="48" t="n">
        <x:v>999</x:v>
      </x:c>
      <x:c r="M353" s="48" t="n">
        <x:v>40</x:v>
      </x:c>
      <x:c r="N353" s="48" t="n">
        <x:v>0.84</x:v>
      </x:c>
      <x:c r="O353" s="48" t="n">
        <x:v>0.39</x:v>
      </x:c>
      <x:c r="P353" s="48" t="n">
        <x:v>0.85</x:v>
      </x:c>
      <x:c r="Q353" s="48" t="n">
        <x:v>0.41</x:v>
      </x:c>
      <x:c r="R353" s="31" t="str">
        <x:v>ok</x:v>
      </x:c>
      <x:c r="S353" s="51" t="n">
        <x:v>0.9999939799308777</x:v>
      </x:c>
      <x:c r="T353" s="31" t="str">
        <x:v>https://mp.weixin.qq.com/s?__biz=MzUxOTMxNjk0OQ==&amp;mid=2247505376&amp;idx=1&amp;sn=9ceb1fa50b4d6458e44c095a355f1ad7&amp;chksm=f9f9e15ace8e684c0e10b61bd462d81a80c0ce731cbe4ebbaa1f43e0c3376568b8444c06bde8#rd</x:v>
      </x:c>
    </x:row>
    <x:row r="354">
      <x:c r="A354" s="36" t="d">
        <x:v>2025-12-19T00:00:00.000Z</x:v>
      </x:c>
      <x:c r="B354" s="48" t="n">
        <x:v>191.38</x:v>
      </x:c>
      <x:c r="C354" s="48" t="n">
        <x:v>69.83</x:v>
      </x:c>
      <x:c r="D354" s="48" t="n">
        <x:v>141.43</x:v>
      </x:c>
      <x:c r="E354" s="48" t="n">
        <x:v>60.06</x:v>
      </x:c>
      <x:c r="F354" s="48" t="n">
        <x:v>949</x:v>
      </x:c>
      <x:c r="G354" s="48" t="n">
        <x:v>40</x:v>
      </x:c>
      <x:c r="H354" s="48" t="n">
        <x:v>949</x:v>
      </x:c>
      <x:c r="I354" s="48" t="n">
        <x:v>40</x:v>
      </x:c>
      <x:c r="J354" s="48" t="n">
        <x:v>949</x:v>
      </x:c>
      <x:c r="K354" s="48" t="n">
        <x:v>40</x:v>
      </x:c>
      <x:c r="L354" s="48" t="n">
        <x:v>949</x:v>
      </x:c>
      <x:c r="M354" s="48" t="n">
        <x:v>40</x:v>
      </x:c>
      <x:c r="N354" s="48" t="n">
        <x:v>0.7</x:v>
      </x:c>
      <x:c r="O354" s="48" t="n">
        <x:v>0.35</x:v>
      </x:c>
      <x:c r="P354" s="48" t="n">
        <x:v>0.73</x:v>
      </x:c>
      <x:c r="Q354" s="48" t="n">
        <x:v>0.4</x:v>
      </x:c>
      <x:c r="R354" s="31" t="str">
        <x:v>ok</x:v>
      </x:c>
      <x:c r="S354" s="51" t="n">
        <x:v>0.9999945163726807</x:v>
      </x:c>
      <x:c r="T354" s="31" t="str">
        <x:v>https://mp.weixin.qq.com/s?__biz=MzUxOTMxNjk0OQ==&amp;mid=2247505382&amp;idx=1&amp;sn=683fa237e2f1c95f30eec06fef6d6639&amp;chksm=f9f9e15cce8e684a6e4d01baf39e145bab45f449f0ecf833907975c03bacd7bb4432b4f1cf18#rd</x:v>
      </x:c>
    </x:row>
    <x:row r="355">
      <x:c r="A355" s="36" t="d">
        <x:v>2025-12-20T00:00:00.000Z</x:v>
      </x:c>
      <x:c r="B355" s="48" t="n">
        <x:v>179.05</x:v>
      </x:c>
      <x:c r="C355" s="48" t="n">
        <x:v>62.83</x:v>
      </x:c>
      <x:c r="D355" s="48" t="n">
        <x:v>151.08</x:v>
      </x:c>
      <x:c r="E355" s="48" t="n">
        <x:v>71.04</x:v>
      </x:c>
      <x:c r="F355" s="48" t="n">
        <x:v>979</x:v>
      </x:c>
      <x:c r="G355" s="48" t="n">
        <x:v>40</x:v>
      </x:c>
      <x:c r="H355" s="48" t="n">
        <x:v>979</x:v>
      </x:c>
      <x:c r="I355" s="48" t="n">
        <x:v>40</x:v>
      </x:c>
      <x:c r="J355" s="48" t="n">
        <x:v>1000</x:v>
      </x:c>
      <x:c r="K355" s="48" t="n">
        <x:v>40</x:v>
      </x:c>
      <x:c r="L355" s="48" t="n">
        <x:v>1000</x:v>
      </x:c>
      <x:c r="M355" s="48" t="n">
        <x:v>40</x:v>
      </x:c>
      <x:c r="N355" s="48" t="n">
        <x:v>0.63</x:v>
      </x:c>
      <x:c r="O355" s="48" t="n">
        <x:v>0.37</x:v>
      </x:c>
      <x:c r="P355" s="48" t="n">
        <x:v>0.61</x:v>
      </x:c>
      <x:c r="Q355" s="48" t="n">
        <x:v>0.39</x:v>
      </x:c>
      <x:c r="R355" s="31" t="str">
        <x:v>ok</x:v>
      </x:c>
      <x:c r="S355" s="51" t="n">
        <x:v>0.9993943572044373</x:v>
      </x:c>
      <x:c r="T355" s="31" t="str">
        <x:v>https://mp.weixin.qq.com/s?__biz=MzUxOTMxNjk0OQ==&amp;mid=2247505391&amp;idx=1&amp;sn=12e76badb287de736d80f31b2fdfcdbd&amp;chksm=f9f9e155ce8e6843648bb3ec5d48d11a3f1f6c91c32b6b4ab38ad7d7e7eeb52bb5de5e3b66cc#rd</x:v>
      </x:c>
    </x:row>
    <x:row r="356">
      <x:c r="A356" s="36" t="d">
        <x:v>2025-12-21T00:00:00.000Z</x:v>
      </x:c>
      <x:c r="B356" s="48" t="n">
        <x:v>111.59</x:v>
      </x:c>
      <x:c r="C356" s="48" t="n">
        <x:v>45.79</x:v>
      </x:c>
      <x:c r="D356" s="48" t="n">
        <x:v>79.85</x:v>
      </x:c>
      <x:c r="E356" s="48" t="n">
        <x:v>42.81</x:v>
      </x:c>
      <x:c r="F356" s="48" t="n">
        <x:v>973</x:v>
      </x:c>
      <x:c r="G356" s="48" t="n">
        <x:v>40</x:v>
      </x:c>
      <x:c r="H356" s="48" t="n">
        <x:v>973</x:v>
      </x:c>
      <x:c r="I356" s="48" t="n">
        <x:v>40</x:v>
      </x:c>
      <x:c r="J356" s="48" t="n">
        <x:v>973</x:v>
      </x:c>
      <x:c r="K356" s="48" t="n">
        <x:v>40</x:v>
      </x:c>
      <x:c r="L356" s="48" t="n">
        <x:v>973</x:v>
      </x:c>
      <x:c r="M356" s="48" t="n">
        <x:v>40</x:v>
      </x:c>
      <x:c r="N356" s="48" t="n">
        <x:v>1</x:v>
      </x:c>
      <x:c r="O356" s="48" t="n">
        <x:v>0.35</x:v>
      </x:c>
      <x:c r="P356" s="48" t="n">
        <x:v>1.03</x:v>
      </x:c>
      <x:c r="Q356" s="48" t="n">
        <x:v>0.32</x:v>
      </x:c>
      <x:c r="R356" s="31" t="str">
        <x:v>ok</x:v>
      </x:c>
      <x:c r="S356" s="51" t="n">
        <x:v>0.9999709129333496</x:v>
      </x:c>
      <x:c r="T356" s="31" t="str">
        <x:v>https://mp.weixin.qq.com/s?__biz=MzUxOTMxNjk0OQ==&amp;mid=2247505442&amp;idx=1&amp;sn=eb6fe9d3a6690fe1db8590d927c3637b&amp;chksm=f9f9e298ce8e6b8e2a3baef615c5f7fc684b31b0c18527a3476f8e69929bf4fa5d2604486135#rd</x:v>
      </x:c>
    </x:row>
    <x:row r="357">
      <x:c r="A357" s="36" t="d">
        <x:v>2025-12-22T00:00:00.000Z</x:v>
      </x:c>
      <x:c r="B357" s="48" t="n">
        <x:v>215.88</x:v>
      </x:c>
      <x:c r="C357" s="48" t="n">
        <x:v>101.4</x:v>
      </x:c>
      <x:c r="D357" s="48" t="n">
        <x:v>185.57</x:v>
      </x:c>
      <x:c r="E357" s="48" t="n">
        <x:v>425.14</x:v>
      </x:c>
      <x:c r="F357" s="48" t="n">
        <x:v>828.68</x:v>
      </x:c>
      <x:c r="G357" s="48" t="n">
        <x:v>40</x:v>
      </x:c>
      <x:c r="H357" s="48" t="n">
        <x:v>1000</x:v>
      </x:c>
      <x:c r="I357" s="48" t="n">
        <x:v>40</x:v>
      </x:c>
      <x:c r="J357" s="48" t="n">
        <x:v>1000</x:v>
      </x:c>
      <x:c r="K357" s="48" t="n">
        <x:v>40</x:v>
      </x:c>
      <x:c r="L357" s="48" t="n">
        <x:v>1000</x:v>
      </x:c>
      <x:c r="M357" s="48" t="n">
        <x:v>40</x:v>
      </x:c>
      <x:c r="N357" s="48" t="n">
        <x:v>0.8</x:v>
      </x:c>
      <x:c r="O357" s="48" t="n">
        <x:v>0.32</x:v>
      </x:c>
      <x:c r="P357" s="48" t="n">
        <x:v>0.83</x:v>
      </x:c>
      <x:c r="Q357" s="48" t="n">
        <x:v>0.28</x:v>
      </x:c>
      <x:c r="R357" s="31" t="str">
        <x:v>ok</x:v>
      </x:c>
      <x:c r="S357" s="51" t="n">
        <x:v>0.998968243598938</x:v>
      </x:c>
      <x:c r="T357" s="31" t="str">
        <x:v>https://mp.weixin.qq.com/s?__biz=MzUxOTMxNjk0OQ==&amp;mid=2247505450&amp;idx=1&amp;sn=849591ddf197b0e43a7b2860ec4caaa1&amp;chksm=f9f9e290ce8e6b86e6dd1f40b43da0d3234d27b0ddfda4815680f3c45ce77d7fa7b65c17c06f#rd</x:v>
      </x:c>
    </x:row>
    <x:row r="358">
      <x:c r="A358" s="36" t="d">
        <x:v>2025-12-23T00:00:00.000Z</x:v>
      </x:c>
      <x:c r="B358" s="48" t="n">
        <x:v>155.79</x:v>
      </x:c>
      <x:c r="C358" s="48" t="n">
        <x:v>83.67</x:v>
      </x:c>
      <x:c r="D358" s="48" t="n">
        <x:v>151.68</x:v>
      </x:c>
      <x:c r="E358" s="48" t="n">
        <x:v>95.91</x:v>
      </x:c>
      <x:c r="F358" s="48" t="n">
        <x:v>600</x:v>
      </x:c>
      <x:c r="G358" s="48" t="n">
        <x:v>40</x:v>
      </x:c>
      <x:c r="H358" s="48" t="n">
        <x:v>600</x:v>
      </x:c>
      <x:c r="I358" s="48" t="n">
        <x:v>40</x:v>
      </x:c>
      <x:c r="J358" s="48" t="n">
        <x:v>792.72</x:v>
      </x:c>
      <x:c r="K358" s="48" t="n">
        <x:v>40</x:v>
      </x:c>
      <x:c r="L358" s="48" t="n">
        <x:v>1000</x:v>
      </x:c>
      <x:c r="M358" s="48" t="n">
        <x:v>40</x:v>
      </x:c>
      <x:c r="N358" s="48" t="n">
        <x:v>0.59</x:v>
      </x:c>
      <x:c r="O358" s="48" t="n">
        <x:v>0.48</x:v>
      </x:c>
      <x:c r="P358" s="48" t="n">
        <x:v>0.5</x:v>
      </x:c>
      <x:c r="Q358" s="48" t="n">
        <x:v>0.45</x:v>
      </x:c>
      <x:c r="R358" s="31" t="str">
        <x:v>ok</x:v>
      </x:c>
      <x:c r="S358" s="51" t="n">
        <x:v>0.9926156401634216</x:v>
      </x:c>
      <x:c r="T358" s="31" t="str">
        <x:v>https://mp.weixin.qq.com/s?__biz=MzUxOTMxNjk0OQ==&amp;mid=2247505458&amp;idx=1&amp;sn=20ab83921d593f82701bbe29b670c49a&amp;chksm=f9f9e288ce8e6b9e196c5c76aa7e8e9ef7c9f3a543faeb3e51b50395cdb5527d582f49674332#rd</x:v>
      </x:c>
    </x:row>
    <x:row r="359">
      <x:c r="A359" s="36" t="d">
        <x:v>2025-12-24T00:00:00.000Z</x:v>
      </x:c>
      <x:c r="B359" s="48" t="n">
        <x:v>227.51</x:v>
      </x:c>
      <x:c r="C359" s="48" t="n">
        <x:v>49.01</x:v>
      </x:c>
      <x:c r="D359" s="48" t="n">
        <x:v>195.6</x:v>
      </x:c>
      <x:c r="E359" s="48" t="n">
        <x:v>44.53</x:v>
      </x:c>
      <x:c r="F359" s="48" t="n">
        <x:v>600</x:v>
      </x:c>
      <x:c r="G359" s="48" t="n">
        <x:v>40</x:v>
      </x:c>
      <x:c r="H359" s="48" t="n">
        <x:v>600</x:v>
      </x:c>
      <x:c r="I359" s="48" t="n">
        <x:v>40</x:v>
      </x:c>
      <x:c r="J359" s="48" t="n">
        <x:v>600</x:v>
      </x:c>
      <x:c r="K359" s="48" t="n">
        <x:v>40</x:v>
      </x:c>
      <x:c r="L359" s="48" t="n">
        <x:v>685</x:v>
      </x:c>
      <x:c r="M359" s="48" t="n">
        <x:v>40</x:v>
      </x:c>
      <x:c r="N359" s="48" t="n">
        <x:v>0.44</x:v>
      </x:c>
      <x:c r="O359" s="48" t="n">
        <x:v>0.39</x:v>
      </x:c>
      <x:c r="P359" s="48" t="n">
        <x:v>0.48</x:v>
      </x:c>
      <x:c r="Q359" s="48" t="n">
        <x:v>0.38</x:v>
      </x:c>
      <x:c r="R359" s="31" t="str">
        <x:v>ok</x:v>
      </x:c>
      <x:c r="S359" s="51" t="n">
        <x:v>0.9999968409538269</x:v>
      </x:c>
      <x:c r="T359" s="31" t="str">
        <x:v>https://mp.weixin.qq.com/s?__biz=MzUxOTMxNjk0OQ==&amp;mid=2247505466&amp;idx=1&amp;sn=34291dc0527033e13a80055b719a3f60&amp;chksm=f9f9e280ce8e6b96236468d0e360b657c86115fd1a01c18382436e8b5bdfbd29b3ee21cf0061#rd</x:v>
      </x:c>
    </x:row>
    <x:row r="360">
      <x:c r="A360" s="36" t="d">
        <x:v>2025-12-25T00:00:00.000Z</x:v>
      </x:c>
      <x:c r="B360" s="48" t="n">
        <x:v>338.9</x:v>
      </x:c>
      <x:c r="C360" s="48" t="n">
        <x:v>66.02</x:v>
      </x:c>
      <x:c r="D360" s="48" t="n">
        <x:v>358.32</x:v>
      </x:c>
      <x:c r="E360" s="48" t="n">
        <x:v>68.05</x:v>
      </x:c>
      <x:c r="F360" s="48" t="n">
        <x:v>600</x:v>
      </x:c>
      <x:c r="G360" s="48" t="n">
        <x:v>40</x:v>
      </x:c>
      <x:c r="H360" s="48" t="n">
        <x:v>600</x:v>
      </x:c>
      <x:c r="I360" s="48" t="n">
        <x:v>40</x:v>
      </x:c>
      <x:c r="J360" s="48" t="n">
        <x:v>1000</x:v>
      </x:c>
      <x:c r="K360" s="48" t="n">
        <x:v>40</x:v>
      </x:c>
      <x:c r="L360" s="48" t="n">
        <x:v>1000</x:v>
      </x:c>
      <x:c r="M360" s="48" t="n">
        <x:v>40</x:v>
      </x:c>
      <x:c r="N360" s="48" t="n">
        <x:v>0.26</x:v>
      </x:c>
      <x:c r="O360" s="48" t="n">
        <x:v>0.44</x:v>
      </x:c>
      <x:c r="P360" s="48" t="n">
        <x:v>0.21</x:v>
      </x:c>
      <x:c r="Q360" s="48" t="n">
        <x:v>0.46</x:v>
      </x:c>
      <x:c r="R360" s="31" t="str">
        <x:v>ok</x:v>
      </x:c>
      <x:c r="S360" s="51" t="n">
        <x:v>0.9999810457229614</x:v>
      </x:c>
      <x:c r="T360" s="31" t="str">
        <x:v>https://mp.weixin.qq.com/s?__biz=MzUxOTMxNjk0OQ==&amp;mid=2247505478&amp;idx=1&amp;sn=de4ac439222796144bc3593227d0863c&amp;chksm=f9f9e2fcce8e6bea8dba88131ddaf03cd4142f70857eb7e296a57e34dd9c22e0899d21cedc3d#rd</x:v>
      </x:c>
    </x:row>
    <x:row r="361">
      <x:c r="A361" s="36" t="d">
        <x:v>2025-12-26T00:00:00.000Z</x:v>
      </x:c>
      <x:c r="B361" s="48" t="n">
        <x:v>396.64</x:v>
      </x:c>
      <x:c r="C361" s="48" t="n">
        <x:v>72.88</x:v>
      </x:c>
      <x:c r="D361" s="48" t="n">
        <x:v>374.69</x:v>
      </x:c>
      <x:c r="E361" s="48" t="n">
        <x:v>65.31</x:v>
      </x:c>
      <x:c r="F361" s="48" t="n">
        <x:v>1000</x:v>
      </x:c>
      <x:c r="G361" s="48" t="n">
        <x:v>40</x:v>
      </x:c>
      <x:c r="H361" s="48" t="n">
        <x:v>1000</x:v>
      </x:c>
      <x:c r="I361" s="48" t="n">
        <x:v>40</x:v>
      </x:c>
      <x:c r="J361" s="48" t="n">
        <x:v>1000</x:v>
      </x:c>
      <x:c r="K361" s="48" t="n">
        <x:v>40</x:v>
      </x:c>
      <x:c r="L361" s="48" t="n">
        <x:v>1000</x:v>
      </x:c>
      <x:c r="M361" s="48" t="n">
        <x:v>40</x:v>
      </x:c>
      <x:c r="N361" s="48" t="n">
        <x:v>0.51</x:v>
      </x:c>
      <x:c r="O361" s="48" t="n">
        <x:v>0.36</x:v>
      </x:c>
      <x:c r="P361" s="48" t="n">
        <x:v>0.55</x:v>
      </x:c>
      <x:c r="Q361" s="48" t="n">
        <x:v>0.39</x:v>
      </x:c>
      <x:c r="R361" s="31" t="str">
        <x:v>ok</x:v>
      </x:c>
      <x:c r="S361" s="51" t="n">
        <x:v>0.9556612968444824</x:v>
      </x:c>
      <x:c r="T361" s="31" t="str">
        <x:v>https://mp.weixin.qq.com/s?__biz=MzUxOTMxNjk0OQ==&amp;mid=2247505484&amp;idx=1&amp;sn=1a5208a7e5347f7102f448c0457994b1&amp;chksm=f9f9e2f6ce8e6be0f1c362d57233857c25134442718def05307e29a431a6ab9222b96556c2ce#rd</x:v>
      </x:c>
    </x:row>
    <x:row r="362">
      <x:c r="A362" s="36" t="d">
        <x:v>2025-12-27T00:00:00.000Z</x:v>
      </x:c>
      <x:c r="B362" s="48" t="n">
        <x:v>332.68</x:v>
      </x:c>
      <x:c r="C362" s="48" t="n">
        <x:v>66.65</x:v>
      </x:c>
      <x:c r="D362" s="48" t="n">
        <x:v>388.72</x:v>
      </x:c>
      <x:c r="E362" s="48" t="n">
        <x:v>68.46</x:v>
      </x:c>
      <x:c r="F362" s="48" t="n">
        <x:v>500</x:v>
      </x:c>
      <x:c r="G362" s="48" t="n">
        <x:v>40</x:v>
      </x:c>
      <x:c r="H362" s="48" t="n">
        <x:v>500</x:v>
      </x:c>
      <x:c r="I362" s="48" t="n">
        <x:v>40</x:v>
      </x:c>
      <x:c r="J362" s="48" t="n">
        <x:v>1000</x:v>
      </x:c>
      <x:c r="K362" s="48" t="n">
        <x:v>40</x:v>
      </x:c>
      <x:c r="L362" s="48" t="n">
        <x:v>1000</x:v>
      </x:c>
      <x:c r="M362" s="48" t="n">
        <x:v>40</x:v>
      </x:c>
      <x:c r="N362" s="48" t="n">
        <x:v>0.32</x:v>
      </x:c>
      <x:c r="O362" s="48" t="n">
        <x:v>0.42</x:v>
      </x:c>
      <x:c r="P362" s="48" t="n">
        <x:v>0.27</x:v>
      </x:c>
      <x:c r="Q362" s="48" t="n">
        <x:v>0.43</x:v>
      </x:c>
      <x:c r="R362" s="31" t="str">
        <x:v>ok</x:v>
      </x:c>
      <x:c r="S362" s="51" t="n">
        <x:v>0.98029625415802</x:v>
      </x:c>
      <x:c r="T362" s="31" t="str">
        <x:v>https://mp.weixin.qq.com/s?__biz=MzUxOTMxNjk0OQ==&amp;mid=2247505492&amp;idx=1&amp;sn=4bd86719dd1f10b241450e8eb5dd3194&amp;chksm=f9f9e2eece8e6bf88001fcdd5c10d219d50a7d1c284bc5fd1e1f20b1d52d71aea35bd5090f22#rd</x:v>
      </x:c>
    </x:row>
    <x:row r="363">
      <x:c r="A363" s="36" t="d">
        <x:v>2025-12-28T00:00:00.000Z</x:v>
      </x:c>
      <x:c r="B363" s="48" t="n">
        <x:v>258.66</x:v>
      </x:c>
      <x:c r="C363" s="48" t="n">
        <x:v>57.41</x:v>
      </x:c>
      <x:c r="D363" s="48" t="n">
        <x:v>270.71</x:v>
      </x:c>
      <x:c r="E363" s="48" t="n">
        <x:v>51.68</x:v>
      </x:c>
      <x:c r="F363" s="48" t="n">
        <x:v>600</x:v>
      </x:c>
      <x:c r="G363" s="48" t="n">
        <x:v>40</x:v>
      </x:c>
      <x:c r="H363" s="48" t="n">
        <x:v>600</x:v>
      </x:c>
      <x:c r="I363" s="48" t="n">
        <x:v>40</x:v>
      </x:c>
      <x:c r="J363" s="48" t="n">
        <x:v>510</x:v>
      </x:c>
      <x:c r="K363" s="48" t="n">
        <x:v>40</x:v>
      </x:c>
      <x:c r="L363" s="48" t="n">
        <x:v>510</x:v>
      </x:c>
      <x:c r="M363" s="48" t="n">
        <x:v>40</x:v>
      </x:c>
      <x:c r="N363" s="48" t="n">
        <x:v>0.54</x:v>
      </x:c>
      <x:c r="O363" s="48" t="n">
        <x:v>0.37</x:v>
      </x:c>
      <x:c r="P363" s="48" t="n">
        <x:v>0.57</x:v>
      </x:c>
      <x:c r="Q363" s="48" t="n">
        <x:v>0.35</x:v>
      </x:c>
      <x:c r="R363" s="31" t="str">
        <x:v>ok</x:v>
      </x:c>
      <x:c r="S363" s="51" t="n">
        <x:v>0.9999962449073792</x:v>
      </x:c>
      <x:c r="T363" s="31" t="str">
        <x:v>https://mp.weixin.qq.com/s?__biz=MzUxOTMxNjk0OQ==&amp;mid=2247505506&amp;idx=1&amp;sn=e4a57eade26ffacba24e8ed86f546ee1&amp;chksm=f9f9e2d8ce8e6bce7f41c53f202667d756e73b2ac09a28bdcf5efcc5fd5f5df95ba588790a07#rd</x:v>
      </x:c>
    </x:row>
    <x:row r="364">
      <x:c r="A364" s="36" t="d">
        <x:v>2025-12-29T00:00:00.000Z</x:v>
      </x:c>
      <x:c r="B364" s="48" t="n">
        <x:v>345.06</x:v>
      </x:c>
      <x:c r="C364" s="48" t="n">
        <x:v>84.26</x:v>
      </x:c>
      <x:c r="D364" s="48" t="n">
        <x:v>393.79</x:v>
      </x:c>
      <x:c r="E364" s="48" t="n">
        <x:v>87.94</x:v>
      </x:c>
      <x:c r="F364" s="48" t="n">
        <x:v>1000</x:v>
      </x:c>
      <x:c r="G364" s="48" t="n">
        <x:v>40</x:v>
      </x:c>
      <x:c r="H364" s="48" t="n">
        <x:v>1000</x:v>
      </x:c>
      <x:c r="I364" s="48" t="n">
        <x:v>40</x:v>
      </x:c>
      <x:c r="J364" s="48" t="n">
        <x:v>1000</x:v>
      </x:c>
      <x:c r="K364" s="48" t="n">
        <x:v>40</x:v>
      </x:c>
      <x:c r="L364" s="48" t="n">
        <x:v>1000</x:v>
      </x:c>
      <x:c r="M364" s="48" t="n">
        <x:v>40</x:v>
      </x:c>
      <x:c r="N364" s="48" t="n">
        <x:v>0.15</x:v>
      </x:c>
      <x:c r="O364" s="48" t="n">
        <x:v>0.46</x:v>
      </x:c>
      <x:c r="P364" s="48" t="n">
        <x:v>0.17</x:v>
      </x:c>
      <x:c r="Q364" s="48" t="n">
        <x:v>0.46</x:v>
      </x:c>
      <x:c r="R364" s="31" t="str">
        <x:v>ok</x:v>
      </x:c>
      <x:c r="S364" s="51" t="n">
        <x:v>0.9978597164154053</x:v>
      </x:c>
      <x:c r="T364" s="31" t="str">
        <x:v>https://mp.weixin.qq.com/s?__biz=MzUxOTMxNjk0OQ==&amp;mid=2247505521&amp;idx=1&amp;sn=67552c2391655631e65722befb484e12&amp;chksm=f9f9e2cbce8e6bdd8fa0c216cc1183ff37a7893d7d22c4697d0e6094b4b6b9398ce1bab24127#rd</x:v>
      </x:c>
    </x:row>
    <x:row r="365">
      <x:c r="A365" s="36" t="d">
        <x:v>2025-12-30T00:00:00.000Z</x:v>
      </x:c>
      <x:c r="B365" s="48" t="n">
        <x:v>288.16</x:v>
      </x:c>
      <x:c r="C365" s="48" t="n">
        <x:v>85.84</x:v>
      </x:c>
      <x:c r="D365" s="48" t="n">
        <x:v>269.52</x:v>
      </x:c>
      <x:c r="E365" s="48" t="n">
        <x:v>89.09</x:v>
      </x:c>
      <x:c r="F365" s="48" t="n">
        <x:v>1000</x:v>
      </x:c>
      <x:c r="G365" s="48" t="n">
        <x:v>40</x:v>
      </x:c>
      <x:c r="H365" s="48" t="n">
        <x:v>1000</x:v>
      </x:c>
      <x:c r="I365" s="48" t="n">
        <x:v>40</x:v>
      </x:c>
      <x:c r="J365" s="48" t="n">
        <x:v>425.4</x:v>
      </x:c>
      <x:c r="K365" s="48" t="n">
        <x:v>40</x:v>
      </x:c>
      <x:c r="L365" s="48" t="n">
        <x:v>425.4</x:v>
      </x:c>
      <x:c r="M365" s="48" t="n">
        <x:v>40</x:v>
      </x:c>
      <x:c r="N365" s="48" t="n">
        <x:v>0.29</x:v>
      </x:c>
      <x:c r="O365" s="48" t="n">
        <x:v>0.46</x:v>
      </x:c>
      <x:c r="P365" s="48" t="n">
        <x:v>0.31</x:v>
      </x:c>
      <x:c r="Q365" s="48" t="n">
        <x:v>0.47</x:v>
      </x:c>
      <x:c r="R365" s="31" t="str">
        <x:v>ok</x:v>
      </x:c>
      <x:c r="S365" s="51" t="n">
        <x:v>0.9980896711349487</x:v>
      </x:c>
      <x:c r="T365" s="31" t="str">
        <x:v>https://mp.weixin.qq.com/s?__biz=MzUxOTMxNjk0OQ==&amp;mid=2247505583&amp;idx=1&amp;sn=204dc1676040b7a0c649825c2da6477b&amp;chksm=f9f9e215ce8e6b0379ea866a7cf4fea1bca5690aa25690696e6545df6ba6b4d9c9724b795d26#rd</x:v>
      </x:c>
    </x:row>
    <x:row r="366">
      <x:c r="A366" s="36" t="d">
        <x:v>2025-12-31T00:00:00.000Z</x:v>
      </x:c>
      <x:c r="B366" s="48" t="n">
        <x:v>233.16</x:v>
      </x:c>
      <x:c r="C366" s="48" t="n">
        <x:v>342.55</x:v>
      </x:c>
      <x:c r="D366" s="48" t="n">
        <x:v>233.19</x:v>
      </x:c>
      <x:c r="E366" s="48" t="n">
        <x:v>425.02</x:v>
      </x:c>
      <x:c r="F366" s="48" t="n">
        <x:v>460</x:v>
      </x:c>
      <x:c r="G366" s="48" t="n">
        <x:v>40</x:v>
      </x:c>
      <x:c r="H366" s="48" t="n">
        <x:v>460</x:v>
      </x:c>
      <x:c r="I366" s="48" t="n">
        <x:v>40</x:v>
      </x:c>
      <x:c r="J366" s="48" t="n">
        <x:v>460</x:v>
      </x:c>
      <x:c r="K366" s="48" t="n">
        <x:v>40</x:v>
      </x:c>
      <x:c r="L366" s="48" t="n">
        <x:v>460</x:v>
      </x:c>
      <x:c r="M366" s="48" t="n">
        <x:v>40</x:v>
      </x:c>
      <x:c r="N366" s="48" t="n">
        <x:v>0.33</x:v>
      </x:c>
      <x:c r="O366" s="48" t="n">
        <x:v>0.17</x:v>
      </x:c>
      <x:c r="P366" s="48" t="n">
        <x:v>0.38</x:v>
      </x:c>
      <x:c r="Q366" s="48" t="n">
        <x:v>0.14</x:v>
      </x:c>
      <x:c r="R366" s="31" t="str">
        <x:v>ok</x:v>
      </x:c>
      <x:c r="S366" s="51" t="n">
        <x:v>0.9999964833259583</x:v>
      </x:c>
      <x:c r="T366" s="31" t="str">
        <x:v>https://mp.weixin.qq.com/s?__biz=MzUxOTMxNjk0OQ==&amp;mid=2247505589&amp;idx=1&amp;sn=f7ad73f384d65ec60653d60251639933&amp;chksm=f9f9e20fce8e6b197f525ee2a09bce9995ba2caa04d717b8cd4e48515f6a6a921ca640aad54b#rd</x:v>
      </x:c>
    </x:row>
    <x:row r="367">
      <x:c r="A367" s="36" t="d">
        <x:v>2026-01-01T00:00:00.000Z</x:v>
      </x:c>
      <x:c r="B367" s="48" t="n">
        <x:v>444.64</x:v>
      </x:c>
      <x:c r="C367" s="48" t="n">
        <x:v>192.2</x:v>
      </x:c>
      <x:c r="D367" s="48" t="n">
        <x:v>454.12</x:v>
      </x:c>
      <x:c r="E367" s="48" t="n">
        <x:v>216.56</x:v>
      </x:c>
      <x:c r="F367" s="48" t="n">
        <x:v>1000</x:v>
      </x:c>
      <x:c r="G367" s="48" t="n">
        <x:v>0</x:v>
      </x:c>
      <x:c r="H367" s="48" t="n">
        <x:v>1000</x:v>
      </x:c>
      <x:c r="I367" s="48" t="n">
        <x:v>0</x:v>
      </x:c>
      <x:c r="J367" s="48" t="n">
        <x:v>1000</x:v>
      </x:c>
      <x:c r="K367" s="48" t="n">
        <x:v>0</x:v>
      </x:c>
      <x:c r="L367" s="48" t="n">
        <x:v>1000</x:v>
      </x:c>
      <x:c r="M367" s="48" t="n">
        <x:v>0</x:v>
      </x:c>
      <x:c r="N367" s="48" t="n">
        <x:v>0.07</x:v>
      </x:c>
      <x:c r="O367" s="48" t="n">
        <x:v>0.54</x:v>
      </x:c>
      <x:c r="P367" s="48" t="n">
        <x:v>0.09</x:v>
      </x:c>
      <x:c r="Q367" s="48" t="n">
        <x:v>0.46</x:v>
      </x:c>
      <x:c r="R367" s="31" t="str">
        <x:v>ok</x:v>
      </x:c>
      <x:c r="S367" s="51" t="n">
        <x:v>0.999259352684021</x:v>
      </x:c>
      <x:c r="T367" s="31" t="str">
        <x:v>https://mp.weixin.qq.com/s?__biz=MzUxOTMxNjk0OQ==&amp;mid=2247505595&amp;idx=1&amp;sn=c8423329e8e5e92c9dc7cbd9d9c78243&amp;chksm=f9f9e201ce8e6b17d67edcb434a29504443c689c34622193aee995171dc22f502bc56b6defaf#rd</x:v>
      </x:c>
    </x:row>
    <x:row r="368">
      <x:c r="A368" s="36" t="d">
        <x:v>2026-01-02T00:00:00.000Z</x:v>
      </x:c>
      <x:c r="B368" s="48" t="n">
        <x:v>354.18</x:v>
      </x:c>
      <x:c r="C368" s="48" t="n">
        <x:v>105.54</x:v>
      </x:c>
      <x:c r="D368" s="48" t="n">
        <x:v>402</x:v>
      </x:c>
      <x:c r="E368" s="48" t="n">
        <x:v>206.9</x:v>
      </x:c>
      <x:c r="F368" s="48" t="n">
        <x:v>583.36</x:v>
      </x:c>
      <x:c r="G368" s="48" t="n">
        <x:v>0</x:v>
      </x:c>
      <x:c r="H368" s="48" t="n">
        <x:v>583.36</x:v>
      </x:c>
      <x:c r="I368" s="48" t="n">
        <x:v>0</x:v>
      </x:c>
      <x:c r="J368" s="48" t="n">
        <x:v>1000</x:v>
      </x:c>
      <x:c r="K368" s="48" t="n">
        <x:v>0</x:v>
      </x:c>
      <x:c r="L368" s="48" t="n">
        <x:v>1000</x:v>
      </x:c>
      <x:c r="M368" s="48" t="n">
        <x:v>0</x:v>
      </x:c>
      <x:c r="N368" s="48" t="n">
        <x:v>0.11</x:v>
      </x:c>
      <x:c r="O368" s="48" t="n">
        <x:v>0.6</x:v>
      </x:c>
      <x:c r="P368" s="48" t="n">
        <x:v>0.09</x:v>
      </x:c>
      <x:c r="Q368" s="48" t="n">
        <x:v>0.56</x:v>
      </x:c>
      <x:c r="R368" s="31" t="str">
        <x:v>ok</x:v>
      </x:c>
      <x:c r="S368" s="51" t="n">
        <x:v>0.9988909363746643</x:v>
      </x:c>
      <x:c r="T368" s="31" t="str">
        <x:v>https://mp.weixin.qq.com/s?__biz=MzUxOTMxNjk0OQ==&amp;mid=2247505603&amp;idx=1&amp;sn=d118439cb1382e40c84db87490f90960&amp;chksm=f9f9e279ce8e6b6f886545ae42801277820517d7f7013b066b50bc65f8753cced2a308eff791#rd</x:v>
      </x:c>
    </x:row>
    <x:row r="369">
      <x:c r="A369" s="36" t="d">
        <x:v>2026-01-03T00:00:00.000Z</x:v>
      </x:c>
      <x:c r="B369" s="48" t="n">
        <x:v>372.35</x:v>
      </x:c>
      <x:c r="C369" s="48" t="n">
        <x:v>308.01</x:v>
      </x:c>
      <x:c r="D369" s="48" t="n">
        <x:v>406.58</x:v>
      </x:c>
      <x:c r="E369" s="48" t="n">
        <x:v>521.6</x:v>
      </x:c>
      <x:c r="F369" s="48" t="n">
        <x:v>1000</x:v>
      </x:c>
      <x:c r="G369" s="48" t="n">
        <x:v>0</x:v>
      </x:c>
      <x:c r="H369" s="48" t="n">
        <x:v>1000</x:v>
      </x:c>
      <x:c r="I369" s="48" t="n">
        <x:v>0</x:v>
      </x:c>
      <x:c r="J369" s="48" t="n">
        <x:v>1000</x:v>
      </x:c>
      <x:c r="K369" s="48" t="n">
        <x:v>0</x:v>
      </x:c>
      <x:c r="L369" s="48" t="n">
        <x:v>1000</x:v>
      </x:c>
      <x:c r="M369" s="48" t="n">
        <x:v>0</x:v>
      </x:c>
      <x:c r="N369" s="48" t="n">
        <x:v>0.2</x:v>
      </x:c>
      <x:c r="O369" s="48" t="n">
        <x:v>0.34</x:v>
      </x:c>
      <x:c r="P369" s="48" t="n">
        <x:v>0.22</x:v>
      </x:c>
      <x:c r="Q369" s="48" t="n">
        <x:v>0.3</x:v>
      </x:c>
      <x:c r="R369" s="31" t="str">
        <x:v>ok</x:v>
      </x:c>
      <x:c r="S369" s="51" t="n">
        <x:v>0.9995168447494507</x:v>
      </x:c>
      <x:c r="T369" s="31" t="str">
        <x:v>https://mp.weixin.qq.com/s?__biz=MzUxOTMxNjk0OQ==&amp;mid=2247505611&amp;idx=1&amp;sn=7b3ec8f1e4804673355a7e25494bd325&amp;chksm=f9f9e271ce8e6b6746eff8dbb0eefb3c2f3ceaf9d37c26de3435617ffb0ef7163ab4c94c1c7c#rd</x:v>
      </x:c>
    </x:row>
    <x:row r="370">
      <x:c r="A370" s="36" t="d">
        <x:v>2026-01-04T00:00:00.000Z</x:v>
      </x:c>
      <x:c r="B370" s="48" t="n">
        <x:v>346.01</x:v>
      </x:c>
      <x:c r="C370" s="48" t="n">
        <x:v>158.6</x:v>
      </x:c>
      <x:c r="D370" s="48" t="n">
        <x:v>353.63</x:v>
      </x:c>
      <x:c r="E370" s="48" t="n">
        <x:v>202.94</x:v>
      </x:c>
      <x:c r="F370" s="48" t="n">
        <x:v>619.91</x:v>
      </x:c>
      <x:c r="G370" s="48" t="n">
        <x:v>0</x:v>
      </x:c>
      <x:c r="H370" s="48" t="n">
        <x:v>1000</x:v>
      </x:c>
      <x:c r="I370" s="48" t="n">
        <x:v>0</x:v>
      </x:c>
      <x:c r="J370" s="48" t="n">
        <x:v>1000</x:v>
      </x:c>
      <x:c r="K370" s="48" t="n">
        <x:v>0</x:v>
      </x:c>
      <x:c r="L370" s="48" t="n">
        <x:v>1000</x:v>
      </x:c>
      <x:c r="M370" s="48" t="n">
        <x:v>0</x:v>
      </x:c>
      <x:c r="N370" s="48" t="n">
        <x:v>0.72</x:v>
      </x:c>
      <x:c r="O370" s="48" t="n">
        <x:v>0.61</x:v>
      </x:c>
      <x:c r="P370" s="48" t="n">
        <x:v>0.68</x:v>
      </x:c>
      <x:c r="Q370" s="48" t="n">
        <x:v>0.54</x:v>
      </x:c>
      <x:c r="R370" s="31" t="str">
        <x:v>ok</x:v>
      </x:c>
      <x:c r="S370" s="51" t="n">
        <x:v>0.9996012449264526</x:v>
      </x:c>
      <x:c r="T370" s="31" t="str">
        <x:v>https://mp.weixin.qq.com/s?__biz=MzUxOTMxNjk0OQ==&amp;mid=2247505781&amp;idx=1&amp;sn=32286f5aa1d3301128d74da37421656c&amp;chksm=f9f9e3cfce8e6ad994e74256c36483cfd498fb408b81de2071abd4c7299b0fddc87fee3ad1c7#rd</x:v>
      </x:c>
    </x:row>
    <x:row r="371">
      <x:c r="A371" s="36" t="d">
        <x:v>2026-01-05T00:00:00.000Z</x:v>
      </x:c>
      <x:c r="B371" s="48" t="n">
        <x:v>342.56</x:v>
      </x:c>
      <x:c r="C371" s="48" t="n">
        <x:v>200.63</x:v>
      </x:c>
      <x:c r="D371" s="48" t="n">
        <x:v>370.23</x:v>
      </x:c>
      <x:c r="E371" s="48" t="n">
        <x:v>225.93</x:v>
      </x:c>
      <x:c r="F371" s="48" t="n">
        <x:v>1000</x:v>
      </x:c>
      <x:c r="G371" s="48" t="n">
        <x:v>0</x:v>
      </x:c>
      <x:c r="H371" s="48" t="n">
        <x:v>1000</x:v>
      </x:c>
      <x:c r="I371" s="48" t="n">
        <x:v>0</x:v>
      </x:c>
      <x:c r="J371" s="48" t="n">
        <x:v>1000</x:v>
      </x:c>
      <x:c r="K371" s="48" t="n">
        <x:v>0</x:v>
      </x:c>
      <x:c r="L371" s="48" t="n">
        <x:v>1000</x:v>
      </x:c>
      <x:c r="M371" s="48" t="n">
        <x:v>0</x:v>
      </x:c>
      <x:c r="N371" s="48" t="n">
        <x:v>0.79</x:v>
      </x:c>
      <x:c r="O371" s="48" t="n">
        <x:v>0.56</x:v>
      </x:c>
      <x:c r="P371" s="48" t="n">
        <x:v>0.84</x:v>
      </x:c>
      <x:c r="Q371" s="48" t="n">
        <x:v>0.53</x:v>
      </x:c>
      <x:c r="R371" s="31" t="str">
        <x:v>ok</x:v>
      </x:c>
      <x:c r="S371" s="51" t="n">
        <x:v>0.998394250869751</x:v>
      </x:c>
      <x:c r="T371" s="31" t="str">
        <x:v>https://mp.weixin.qq.com/s?__biz=MzUxOTMxNjk0OQ==&amp;mid=2247505789&amp;idx=1&amp;sn=b541fc6b427e6ae1cab84d0ee8758dd6&amp;chksm=f9f9e3c7ce8e6ad1a7990e599f9b8925f2452deae9b531fca91ef45e2d069308ddb4aa575c3f#rd</x:v>
      </x:c>
    </x:row>
    <x:row r="372">
      <x:c r="A372" s="36" t="d">
        <x:v>2026-01-06T00:00:00.000Z</x:v>
      </x:c>
      <x:c r="B372" s="48" t="n">
        <x:v>361.59</x:v>
      </x:c>
      <x:c r="C372" s="48" t="n">
        <x:v>158.63</x:v>
      </x:c>
      <x:c r="D372" s="48" t="n">
        <x:v>314.58</x:v>
      </x:c>
      <x:c r="E372" s="48" t="n">
        <x:v>124.49</x:v>
      </x:c>
      <x:c r="F372" s="48" t="n">
        <x:v>1000</x:v>
      </x:c>
      <x:c r="G372" s="48" t="n">
        <x:v>0</x:v>
      </x:c>
      <x:c r="H372" s="48" t="n">
        <x:v>1000</x:v>
      </x:c>
      <x:c r="I372" s="48" t="n">
        <x:v>0</x:v>
      </x:c>
      <x:c r="J372" s="48" t="n">
        <x:v>1000</x:v>
      </x:c>
      <x:c r="K372" s="48" t="n">
        <x:v>0</x:v>
      </x:c>
      <x:c r="L372" s="48" t="n">
        <x:v>1000</x:v>
      </x:c>
      <x:c r="M372" s="48" t="n">
        <x:v>0</x:v>
      </x:c>
      <x:c r="N372" s="48" t="n">
        <x:v>0.98</x:v>
      </x:c>
      <x:c r="O372" s="48" t="n">
        <x:v>0.65</x:v>
      </x:c>
      <x:c r="P372" s="48" t="n">
        <x:v>1</x:v>
      </x:c>
      <x:c r="Q372" s="48" t="n">
        <x:v>0.58</x:v>
      </x:c>
      <x:c r="R372" s="31" t="str">
        <x:v>ok</x:v>
      </x:c>
      <x:c r="S372" s="51" t="n">
        <x:v>0.9961039423942566</x:v>
      </x:c>
      <x:c r="T372" s="31" t="str">
        <x:v>https://mp.weixin.qq.com/s?__biz=MzUxOTMxNjk0OQ==&amp;mid=2247505800&amp;idx=1&amp;sn=a34feb6e6d057f13d316982a4e872594&amp;chksm=f9f9e332ce8e6a241248fdb402acd7d004a6394e924efe01cff297dffef2b306744519190774#rd</x:v>
      </x:c>
    </x:row>
    <x:row r="373">
      <x:c r="A373" s="36" t="d">
        <x:v>2026-01-07T00:00:00.000Z</x:v>
      </x:c>
      <x:c r="B373" s="48" t="n">
        <x:v>375.44</x:v>
      </x:c>
      <x:c r="C373" s="48" t="n">
        <x:v>199.26</x:v>
      </x:c>
      <x:c r="D373" s="48" t="n">
        <x:v>342.6</x:v>
      </x:c>
      <x:c r="E373" s="48" t="n">
        <x:v>133.92</x:v>
      </x:c>
      <x:c r="F373" s="48" t="n">
        <x:v>930.23</x:v>
      </x:c>
      <x:c r="G373" s="48" t="n">
        <x:v>0</x:v>
      </x:c>
      <x:c r="H373" s="48" t="n">
        <x:v>930.23</x:v>
      </x:c>
      <x:c r="I373" s="48" t="n">
        <x:v>0</x:v>
      </x:c>
      <x:c r="J373" s="48" t="n">
        <x:v>1000</x:v>
      </x:c>
      <x:c r="K373" s="48" t="n">
        <x:v>0</x:v>
      </x:c>
      <x:c r="L373" s="48" t="n">
        <x:v>1000</x:v>
      </x:c>
      <x:c r="M373" s="48" t="n">
        <x:v>0</x:v>
      </x:c>
      <x:c r="N373" s="48" t="n">
        <x:v>0.89</x:v>
      </x:c>
      <x:c r="O373" s="48" t="n">
        <x:v>0.57</x:v>
      </x:c>
      <x:c r="P373" s="48" t="n">
        <x:v>0.92</x:v>
      </x:c>
      <x:c r="Q373" s="48" t="n">
        <x:v>0.49</x:v>
      </x:c>
      <x:c r="R373" s="31" t="str">
        <x:v>ok</x:v>
      </x:c>
      <x:c r="S373" s="51" t="n">
        <x:v>0.9538435935974121</x:v>
      </x:c>
      <x:c r="T373" s="31" t="str">
        <x:v>https://mp.weixin.qq.com/s?__biz=MzUxOTMxNjk0OQ==&amp;mid=2247505850&amp;idx=1&amp;sn=41a273f201c6ddc23cad9df5126329bf&amp;chksm=f9f9e300ce8e6a162b5a90cf18ee02363bf6ea5e3632438f3cef6e9262801675f6f4429f08c1#rd</x:v>
      </x:c>
    </x:row>
    <x:row r="374">
      <x:c r="A374" s="36" t="d">
        <x:v>2026-01-08T00:00:00.000Z</x:v>
      </x:c>
      <x:c r="B374" s="48" t="n">
        <x:v>328.21</x:v>
      </x:c>
      <x:c r="C374" s="48" t="n">
        <x:v>129.34</x:v>
      </x:c>
      <x:c r="D374" s="48" t="n">
        <x:v>293.29</x:v>
      </x:c>
      <x:c r="E374" s="48" t="n">
        <x:v>86.24</x:v>
      </x:c>
      <x:c r="F374" s="48" t="n">
        <x:v>1000</x:v>
      </x:c>
      <x:c r="G374" s="48" t="n">
        <x:v>0</x:v>
      </x:c>
      <x:c r="H374" s="48" t="n">
        <x:v>1000</x:v>
      </x:c>
      <x:c r="I374" s="48" t="n">
        <x:v>0</x:v>
      </x:c>
      <x:c r="J374" s="48" t="n">
        <x:v>1000</x:v>
      </x:c>
      <x:c r="K374" s="48" t="n">
        <x:v>0</x:v>
      </x:c>
      <x:c r="L374" s="48" t="n">
        <x:v>1000</x:v>
      </x:c>
      <x:c r="M374" s="48" t="n">
        <x:v>0</x:v>
      </x:c>
      <x:c r="N374" s="48" t="n">
        <x:v>0.64</x:v>
      </x:c>
      <x:c r="O374" s="48" t="n">
        <x:v>0.7</x:v>
      </x:c>
      <x:c r="P374" s="48" t="n">
        <x:v>0.67</x:v>
      </x:c>
      <x:c r="Q374" s="48" t="n">
        <x:v>0.59</x:v>
      </x:c>
      <x:c r="R374" s="31" t="str">
        <x:v>ok</x:v>
      </x:c>
      <x:c r="S374" s="51" t="n">
        <x:v>0.9944844245910645</x:v>
      </x:c>
      <x:c r="T374" s="31" t="str">
        <x:v>https://mp.weixin.qq.com/s?__biz=MzUxOTMxNjk0OQ==&amp;mid=2247505856&amp;idx=1&amp;sn=a078f3af444ef6ab2fac30cf5b68063f&amp;chksm=f9f9e37ace8e6a6c8515fda25a5f210fc33130e27885854a159ba6ee8844db26c066c33111bf#rd</x:v>
      </x:c>
    </x:row>
    <x:row r="375">
      <x:c r="A375" s="36" t="d">
        <x:v>2026-01-09T00:00:00.000Z</x:v>
      </x:c>
      <x:c r="B375" s="48" t="n">
        <x:v>245.23</x:v>
      </x:c>
      <x:c r="C375" s="48" t="n">
        <x:v>68.6</x:v>
      </x:c>
      <x:c r="D375" s="48" t="n">
        <x:v>181.28</x:v>
      </x:c>
      <x:c r="E375" s="48" t="n">
        <x:v>22.94</x:v>
      </x:c>
      <x:c r="F375" s="48" t="n">
        <x:v>534.18</x:v>
      </x:c>
      <x:c r="G375" s="48" t="n">
        <x:v>0</x:v>
      </x:c>
      <x:c r="H375" s="48" t="n">
        <x:v>377</x:v>
      </x:c>
      <x:c r="I375" s="48" t="n">
        <x:v>0</x:v>
      </x:c>
      <x:c r="J375" s="48" t="n">
        <x:v>322</x:v>
      </x:c>
      <x:c r="K375" s="48" t="n">
        <x:v>0</x:v>
      </x:c>
      <x:c r="L375" s="48" t="n">
        <x:v>322</x:v>
      </x:c>
      <x:c r="M375" s="48" t="n">
        <x:v>0</x:v>
      </x:c>
      <x:c r="N375" s="48" t="n">
        <x:v>1.07</x:v>
      </x:c>
      <x:c r="O375" s="48" t="n">
        <x:v>0.59</x:v>
      </x:c>
      <x:c r="P375" s="48" t="n">
        <x:v>1.08</x:v>
      </x:c>
      <x:c r="Q375" s="48" t="n">
        <x:v>0.48</x:v>
      </x:c>
      <x:c r="R375" s="31" t="str">
        <x:v>ok</x:v>
      </x:c>
      <x:c r="S375" s="51" t="n">
        <x:v>0.9999825954437256</x:v>
      </x:c>
      <x:c r="T375" s="31" t="str">
        <x:v>https://mp.weixin.qq.com/s?__biz=MzUxOTMxNjk0OQ==&amp;mid=2247505862&amp;idx=1&amp;sn=64c1de15be5788d453fd383e3be5862a&amp;chksm=f9f9e37cce8e6a6a5fd9d160b40ed329856cc8dc2273aa705e5b00ee3056308f544a4b397cf2#rd</x:v>
      </x:c>
    </x:row>
    <x:row r="376">
      <x:c r="A376" s="36" t="d">
        <x:v>2026-01-10T00:00:00.000Z</x:v>
      </x:c>
      <x:c r="B376" s="48" t="n">
        <x:v>162.12</x:v>
      </x:c>
      <x:c r="C376" s="48" t="n">
        <x:v>19.79</x:v>
      </x:c>
      <x:c r="D376" s="48" t="n">
        <x:v>145.46</x:v>
      </x:c>
      <x:c r="E376" s="48" t="n">
        <x:v>14.74</x:v>
      </x:c>
      <x:c r="F376" s="48" t="n">
        <x:v>480</x:v>
      </x:c>
      <x:c r="G376" s="48" t="n">
        <x:v>0</x:v>
      </x:c>
      <x:c r="H376" s="48" t="n">
        <x:v>480</x:v>
      </x:c>
      <x:c r="I376" s="48" t="n">
        <x:v>0</x:v>
      </x:c>
      <x:c r="J376" s="48" t="n">
        <x:v>480</x:v>
      </x:c>
      <x:c r="K376" s="48" t="n">
        <x:v>0</x:v>
      </x:c>
      <x:c r="L376" s="48" t="n">
        <x:v>480</x:v>
      </x:c>
      <x:c r="M376" s="48" t="n">
        <x:v>0</x:v>
      </x:c>
      <x:c r="N376" s="48" t="n">
        <x:v>0.85</x:v>
      </x:c>
      <x:c r="O376" s="48" t="n">
        <x:v>0.6</x:v>
      </x:c>
      <x:c r="P376" s="48" t="n">
        <x:v>0.88</x:v>
      </x:c>
      <x:c r="Q376" s="48" t="n">
        <x:v>0.48</x:v>
      </x:c>
      <x:c r="R376" s="31" t="str">
        <x:v>ok</x:v>
      </x:c>
      <x:c r="S376" s="51" t="n">
        <x:v>0.9999955296516418</x:v>
      </x:c>
      <x:c r="T376" s="31" t="str">
        <x:v>https://mp.weixin.qq.com/s?__biz=MzUxOTMxNjk0OQ==&amp;mid=2247505870&amp;idx=1&amp;sn=00410dbab4a611f835c988c0412db7ce&amp;chksm=f9f9e374ce8e6a62ca6e78445b3e2269864a57890688890beb70054bbcdebb2326671bdb27d9#rd</x:v>
      </x:c>
    </x:row>
    <x:row r="377">
      <x:c r="A377" s="36" t="d">
        <x:v>2026-01-11T00:00:00.000Z</x:v>
      </x:c>
      <x:c r="B377" s="48" t="n">
        <x:v>244.66</x:v>
      </x:c>
      <x:c r="C377" s="48" t="n">
        <x:v>30.24</x:v>
      </x:c>
      <x:c r="D377" s="48" t="n">
        <x:v>194.52</x:v>
      </x:c>
      <x:c r="E377" s="48" t="n">
        <x:v>30.92</x:v>
      </x:c>
      <x:c r="F377" s="48" t="n">
        <x:v>428</x:v>
      </x:c>
      <x:c r="G377" s="48" t="n">
        <x:v>0</x:v>
      </x:c>
      <x:c r="H377" s="48" t="n">
        <x:v>428</x:v>
      </x:c>
      <x:c r="I377" s="48" t="n">
        <x:v>0</x:v>
      </x:c>
      <x:c r="J377" s="48" t="n">
        <x:v>682.36</x:v>
      </x:c>
      <x:c r="K377" s="48" t="n">
        <x:v>0</x:v>
      </x:c>
      <x:c r="L377" s="48" t="n">
        <x:v>682.36</x:v>
      </x:c>
      <x:c r="M377" s="48" t="n">
        <x:v>0</x:v>
      </x:c>
      <x:c r="N377" s="48" t="n">
        <x:v>0.69</x:v>
      </x:c>
      <x:c r="O377" s="48" t="n">
        <x:v>0.66</x:v>
      </x:c>
      <x:c r="P377" s="48" t="n">
        <x:v>0.74</x:v>
      </x:c>
      <x:c r="Q377" s="48" t="n">
        <x:v>0.58</x:v>
      </x:c>
      <x:c r="R377" s="31" t="str">
        <x:v>ok</x:v>
      </x:c>
      <x:c r="S377" s="51" t="n">
        <x:v>0.9999905228614807</x:v>
      </x:c>
      <x:c r="T377" s="31" t="str">
        <x:v>https://mp.weixin.qq.com/s?__biz=MzUxOTMxNjk0OQ==&amp;mid=2247505878&amp;idx=1&amp;sn=916ae9d64234db749274bb8fec6b8fab&amp;chksm=f9f9e36cce8e6a7a77ec9b34964834ad40f90930eea588413c7a56974af4a7f0451c1db81697#rd</x:v>
      </x:c>
    </x:row>
    <x:row r="378">
      <x:c r="A378" s="36" t="d">
        <x:v>2026-01-12T00:00:00.000Z</x:v>
      </x:c>
      <x:c r="B378" s="48" t="n">
        <x:v>248.24</x:v>
      </x:c>
      <x:c r="C378" s="48" t="n">
        <x:v>37.92</x:v>
      </x:c>
      <x:c r="D378" s="48" t="n">
        <x:v>143.13</x:v>
      </x:c>
      <x:c r="E378" s="48" t="n">
        <x:v>26.06</x:v>
      </x:c>
      <x:c r="F378" s="48" t="n">
        <x:v>480</x:v>
      </x:c>
      <x:c r="G378" s="48" t="n">
        <x:v>0</x:v>
      </x:c>
      <x:c r="H378" s="48" t="n">
        <x:v>480</x:v>
      </x:c>
      <x:c r="I378" s="48" t="n">
        <x:v>0</x:v>
      </x:c>
      <x:c r="J378" s="48" t="n">
        <x:v>370</x:v>
      </x:c>
      <x:c r="K378" s="48" t="n">
        <x:v>0</x:v>
      </x:c>
      <x:c r="L378" s="48" t="n">
        <x:v>370</x:v>
      </x:c>
      <x:c r="M378" s="48" t="n">
        <x:v>0</x:v>
      </x:c>
      <x:c r="N378" s="48" t="n">
        <x:v>0.93</x:v>
      </x:c>
      <x:c r="O378" s="48" t="n">
        <x:v>0.62</x:v>
      </x:c>
      <x:c r="P378" s="48" t="n">
        <x:v>0.94</x:v>
      </x:c>
      <x:c r="Q378" s="48" t="n">
        <x:v>0.56</x:v>
      </x:c>
      <x:c r="R378" s="31" t="str">
        <x:v>ok</x:v>
      </x:c>
      <x:c r="S378" s="51" t="n">
        <x:v>0.9999960660934448</x:v>
      </x:c>
      <x:c r="T378" s="31" t="str">
        <x:v>https://mp.weixin.qq.com/s?__biz=MzUxOTMxNjk0OQ==&amp;mid=2247505942&amp;idx=1&amp;sn=6d263995a339cd916df25d5380efa692&amp;chksm=f9f9ecacce8e65babb135a903419189f8ac7c1be08d08f5f709f25b5e8ef12d959116a20753c#rd</x:v>
      </x:c>
    </x:row>
    <x:row r="379">
      <x:c r="A379" s="36" t="d">
        <x:v>2026-01-13T00:00:00.000Z</x:v>
      </x:c>
      <x:c r="B379" s="48" t="n">
        <x:v>328.12</x:v>
      </x:c>
      <x:c r="C379" s="48" t="n">
        <x:v>72.37</x:v>
      </x:c>
      <x:c r="D379" s="48" t="n">
        <x:v>260.34</x:v>
      </x:c>
      <x:c r="E379" s="48" t="n">
        <x:v>39.84</x:v>
      </x:c>
      <x:c r="F379" s="48" t="n">
        <x:v>600</x:v>
      </x:c>
      <x:c r="G379" s="48" t="n">
        <x:v>0</x:v>
      </x:c>
      <x:c r="H379" s="48" t="n">
        <x:v>600</x:v>
      </x:c>
      <x:c r="I379" s="48" t="n">
        <x:v>0</x:v>
      </x:c>
      <x:c r="J379" s="48" t="n">
        <x:v>356</x:v>
      </x:c>
      <x:c r="K379" s="48" t="n">
        <x:v>0</x:v>
      </x:c>
      <x:c r="L379" s="48" t="n">
        <x:v>356</x:v>
      </x:c>
      <x:c r="M379" s="48" t="n">
        <x:v>0</x:v>
      </x:c>
      <x:c r="N379" s="48" t="n">
        <x:v>0.61</x:v>
      </x:c>
      <x:c r="O379" s="48" t="n">
        <x:v>0.68</x:v>
      </x:c>
      <x:c r="P379" s="48" t="n">
        <x:v>0.69</x:v>
      </x:c>
      <x:c r="Q379" s="48" t="n">
        <x:v>0.57</x:v>
      </x:c>
      <x:c r="R379" s="31" t="str">
        <x:v>ok</x:v>
      </x:c>
      <x:c r="S379" s="51" t="n">
        <x:v>0.9999953508377075</x:v>
      </x:c>
      <x:c r="T379" s="31" t="str">
        <x:v>https://mp.weixin.qq.com/s?__biz=MzUxOTMxNjk0OQ==&amp;mid=2247505946&amp;idx=1&amp;sn=e960168fd42c1e62c128ca22e5ef058f&amp;chksm=f9f9eca0ce8e65b6cfdf56133969f5d7f51c5f2194eda6a8c572986dc284648bf992c6e69f7b#rd</x:v>
      </x:c>
    </x:row>
    <x:row r="380">
      <x:c r="A380" s="36" t="d">
        <x:v>2026-01-14T00:00:00.000Z</x:v>
      </x:c>
      <x:c r="B380" s="48" t="n">
        <x:v>314.81</x:v>
      </x:c>
      <x:c r="C380" s="48" t="n">
        <x:v>105.12</x:v>
      </x:c>
      <x:c r="D380" s="48" t="n">
        <x:v>267.09</x:v>
      </x:c>
      <x:c r="E380" s="48" t="n">
        <x:v>117.48</x:v>
      </x:c>
      <x:c r="F380" s="48" t="n">
        <x:v>650</x:v>
      </x:c>
      <x:c r="G380" s="48" t="n">
        <x:v>0</x:v>
      </x:c>
      <x:c r="H380" s="48" t="n">
        <x:v>650</x:v>
      </x:c>
      <x:c r="I380" s="48" t="n">
        <x:v>0</x:v>
      </x:c>
      <x:c r="J380" s="48" t="n">
        <x:v>650</x:v>
      </x:c>
      <x:c r="K380" s="48" t="n">
        <x:v>0</x:v>
      </x:c>
      <x:c r="L380" s="48" t="n">
        <x:v>650</x:v>
      </x:c>
      <x:c r="M380" s="48" t="n">
        <x:v>0</x:v>
      </x:c>
      <x:c r="N380" s="48" t="n">
        <x:v>0.99</x:v>
      </x:c>
      <x:c r="O380" s="48" t="n">
        <x:v>0.58</x:v>
      </x:c>
      <x:c r="P380" s="48" t="n">
        <x:v>0.99</x:v>
      </x:c>
      <x:c r="Q380" s="48" t="n">
        <x:v>0.48</x:v>
      </x:c>
      <x:c r="R380" s="31" t="str">
        <x:v>ok</x:v>
      </x:c>
      <x:c r="S380" s="51" t="n">
        <x:v>0.9918467402458191</x:v>
      </x:c>
      <x:c r="T380" s="31" t="str">
        <x:v>https://mp.weixin.qq.com/s?__biz=MzUxOTMxNjk0OQ==&amp;mid=2247505950&amp;idx=1&amp;sn=c57bf8bb7c43cdcfe1b4560f9f5137a6&amp;chksm=f9f9eca4ce8e65b2c9b51b8734c53f832a231c294401e29372fc4ffb2de426ece21bd4855167#rd</x:v>
      </x:c>
    </x:row>
    <x:row r="381">
      <x:c r="A381" s="36" t="d">
        <x:v>2026-01-15T00:00:00.000Z</x:v>
      </x:c>
      <x:c r="B381" s="48" t="n">
        <x:v>293.65</x:v>
      </x:c>
      <x:c r="C381" s="48" t="n">
        <x:v>97.11</x:v>
      </x:c>
      <x:c r="D381" s="48" t="n">
        <x:v>213.05</x:v>
      </x:c>
      <x:c r="E381" s="48" t="n">
        <x:v>71.1</x:v>
      </x:c>
      <x:c r="F381" s="48" t="n">
        <x:v>520</x:v>
      </x:c>
      <x:c r="G381" s="48" t="n">
        <x:v>0</x:v>
      </x:c>
      <x:c r="H381" s="48" t="n">
        <x:v>520</x:v>
      </x:c>
      <x:c r="I381" s="48" t="n">
        <x:v>0</x:v>
      </x:c>
      <x:c r="J381" s="48" t="n">
        <x:v>511</x:v>
      </x:c>
      <x:c r="K381" s="48" t="n">
        <x:v>0</x:v>
      </x:c>
      <x:c r="L381" s="48" t="n">
        <x:v>511</x:v>
      </x:c>
      <x:c r="M381" s="48" t="n">
        <x:v>0</x:v>
      </x:c>
      <x:c r="N381" s="48" t="n">
        <x:v>0.68</x:v>
      </x:c>
      <x:c r="O381" s="48" t="n">
        <x:v>0.73</x:v>
      </x:c>
      <x:c r="P381" s="48" t="n">
        <x:v>0.76</x:v>
      </x:c>
      <x:c r="Q381" s="48" t="n">
        <x:v>0.63</x:v>
      </x:c>
      <x:c r="R381" s="31" t="str">
        <x:v>ok</x:v>
      </x:c>
      <x:c r="S381" s="51" t="n">
        <x:v>0.9999927282333374</x:v>
      </x:c>
      <x:c r="T381" s="31" t="str">
        <x:v>https://mp.weixin.qq.com/s?__biz=MzUxOTMxNjk0OQ==&amp;mid=2247505952&amp;idx=1&amp;sn=164857202cd013a8011942bbbc33d265&amp;chksm=f9f9ec9ace8e658cc0c358b21e6dd76b1adc3097fee20941e3dcf09fdd7f5305c7f2533933fa#rd</x:v>
      </x:c>
    </x:row>
    <x:row r="382">
      <x:c r="A382" s="36" t="d">
        <x:v>2026-01-16T00:00:00.000Z</x:v>
      </x:c>
      <x:c r="B382" s="48" t="n">
        <x:v>318.23</x:v>
      </x:c>
      <x:c r="C382" s="48" t="n">
        <x:v>89.35</x:v>
      </x:c>
      <x:c r="D382" s="48" t="n">
        <x:v>200.25</x:v>
      </x:c>
      <x:c r="E382" s="48" t="n">
        <x:v>88.45</x:v>
      </x:c>
      <x:c r="F382" s="48" t="n">
        <x:v>520</x:v>
      </x:c>
      <x:c r="G382" s="48" t="n">
        <x:v>0</x:v>
      </x:c>
      <x:c r="H382" s="48" t="n">
        <x:v>520</x:v>
      </x:c>
      <x:c r="I382" s="48" t="n">
        <x:v>0</x:v>
      </x:c>
      <x:c r="J382" s="48" t="n">
        <x:v>520</x:v>
      </x:c>
      <x:c r="K382" s="48" t="n">
        <x:v>0</x:v>
      </x:c>
      <x:c r="L382" s="48" t="n">
        <x:v>520</x:v>
      </x:c>
      <x:c r="M382" s="48" t="n">
        <x:v>0</x:v>
      </x:c>
      <x:c r="N382" s="48" t="n">
        <x:v>0.48</x:v>
      </x:c>
      <x:c r="O382" s="48" t="n">
        <x:v>0.73</x:v>
      </x:c>
      <x:c r="P382" s="48" t="n">
        <x:v>0.55</x:v>
      </x:c>
      <x:c r="Q382" s="48" t="n">
        <x:v>0.68</x:v>
      </x:c>
      <x:c r="R382" s="31" t="str">
        <x:v>ok</x:v>
      </x:c>
      <x:c r="S382" s="51" t="n">
        <x:v>0.9999964833259583</x:v>
      </x:c>
      <x:c r="T382" s="31" t="str">
        <x:v>https://mp.weixin.qq.com/s?__biz=MzUxOTMxNjk0OQ==&amp;mid=2247505954&amp;idx=1&amp;sn=b28cae33dd4911fd402aa0b8ff663f3a&amp;chksm=f9f9ec98ce8e658e1b6361df35d47037704dfb147afdea81364a5e3d04c2b7a6595634e49193#rd</x:v>
      </x:c>
    </x:row>
    <x:row r="383">
      <x:c r="A383" s="36" t="d">
        <x:v>2026-01-17T00:00:00.000Z</x:v>
      </x:c>
      <x:c r="B383" s="48" t="n">
        <x:v>42.85</x:v>
      </x:c>
      <x:c r="C383" s="48" t="n">
        <x:v>3.59</x:v>
      </x:c>
      <x:c r="D383" s="48" t="n">
        <x:v>59.47</x:v>
      </x:c>
      <x:c r="E383" s="48" t="n">
        <x:v>4.52</x:v>
      </x:c>
      <x:c r="F383" s="48" t="n">
        <x:v>330</x:v>
      </x:c>
      <x:c r="G383" s="48" t="n">
        <x:v>0</x:v>
      </x:c>
      <x:c r="H383" s="48" t="n">
        <x:v>330</x:v>
      </x:c>
      <x:c r="I383" s="48" t="n">
        <x:v>0</x:v>
      </x:c>
      <x:c r="J383" s="48" t="n">
        <x:v>320</x:v>
      </x:c>
      <x:c r="K383" s="48" t="n">
        <x:v>0</x:v>
      </x:c>
      <x:c r="L383" s="48" t="n">
        <x:v>320</x:v>
      </x:c>
      <x:c r="M383" s="48" t="n">
        <x:v>0</x:v>
      </x:c>
      <x:c r="N383" s="48" t="n">
        <x:v>1.17</x:v>
      </x:c>
      <x:c r="O383" s="48" t="n">
        <x:v>0.53</x:v>
      </x:c>
      <x:c r="P383" s="48" t="n">
        <x:v>1.08</x:v>
      </x:c>
      <x:c r="Q383" s="48" t="n">
        <x:v>0.45</x:v>
      </x:c>
      <x:c r="R383" s="31" t="str">
        <x:v>ok</x:v>
      </x:c>
      <x:c r="S383" s="51" t="n">
        <x:v>0.9999369382858276</x:v>
      </x:c>
      <x:c r="T383" s="31" t="str">
        <x:v>https://mp.weixin.qq.com/s?__biz=MzUxOTMxNjk0OQ==&amp;mid=2247505956&amp;idx=1&amp;sn=43b1d1375bd0281954091ca19a166485&amp;chksm=f9f9ec9ece8e65886798e521def643e4344f63f4adbe08412cc49ecc2b410cd280fce2081a38#rd</x:v>
      </x:c>
    </x:row>
    <x:row r="384">
      <x:c r="A384" s="36" t="d">
        <x:v>2026-01-18T00:00:00.000Z</x:v>
      </x:c>
      <x:c r="B384" s="48" t="n">
        <x:v>132.52</x:v>
      </x:c>
      <x:c r="C384" s="48" t="n">
        <x:v>140.78</x:v>
      </x:c>
      <x:c r="D384" s="48" t="n">
        <x:v>167.37</x:v>
      </x:c>
      <x:c r="E384" s="48" t="n">
        <x:v>381.54</x:v>
      </x:c>
      <x:c r="F384" s="48" t="n">
        <x:v>500</x:v>
      </x:c>
      <x:c r="G384" s="48" t="n">
        <x:v>0</x:v>
      </x:c>
      <x:c r="H384" s="48" t="n">
        <x:v>500</x:v>
      </x:c>
      <x:c r="I384" s="48" t="n">
        <x:v>0</x:v>
      </x:c>
      <x:c r="J384" s="48" t="n">
        <x:v>1000</x:v>
      </x:c>
      <x:c r="K384" s="48" t="n">
        <x:v>0</x:v>
      </x:c>
      <x:c r="L384" s="48" t="n">
        <x:v>1000</x:v>
      </x:c>
      <x:c r="M384" s="48" t="n">
        <x:v>0</x:v>
      </x:c>
      <x:c r="N384" s="48" t="n">
        <x:v>0.78</x:v>
      </x:c>
      <x:c r="O384" s="48" t="n">
        <x:v>0.46</x:v>
      </x:c>
      <x:c r="P384" s="48" t="n">
        <x:v>0.89</x:v>
      </x:c>
      <x:c r="Q384" s="48" t="n">
        <x:v>0.35</x:v>
      </x:c>
      <x:c r="R384" s="31" t="str">
        <x:v>ok</x:v>
      </x:c>
      <x:c r="S384" s="51" t="n">
        <x:v>0.9999806880950928</x:v>
      </x:c>
      <x:c r="T384" s="31" t="str">
        <x:v>https://mp.weixin.qq.com/s?__biz=MzUxOTMxNjk0OQ==&amp;mid=2247505962&amp;idx=1&amp;sn=a1ce87ca51936ed1f2225b824afa2025&amp;chksm=f9f9ec90ce8e65867bc84de56f2e0bcba2b693a6adda705871cc15930d169f36135e489c36d0#rd</x:v>
      </x:c>
    </x:row>
    <x:row r="385">
      <x:c r="A385" s="36" t="d">
        <x:v>2026-01-19T00:00:00.000Z</x:v>
      </x:c>
      <x:c r="B385" s="48" t="n">
        <x:v>318.96</x:v>
      </x:c>
      <x:c r="C385" s="48" t="n">
        <x:v>332.51</x:v>
      </x:c>
      <x:c r="D385" s="48" t="n">
        <x:v>330.47</x:v>
      </x:c>
      <x:c r="E385" s="48" t="n">
        <x:v>313.68</x:v>
      </x:c>
      <x:c r="F385" s="48" t="n">
        <x:v>550</x:v>
      </x:c>
      <x:c r="G385" s="48" t="n">
        <x:v>0</x:v>
      </x:c>
      <x:c r="H385" s="48" t="n">
        <x:v>550</x:v>
      </x:c>
      <x:c r="I385" s="48" t="n">
        <x:v>0</x:v>
      </x:c>
      <x:c r="J385" s="48" t="n">
        <x:v>1000</x:v>
      </x:c>
      <x:c r="K385" s="48" t="n">
        <x:v>0</x:v>
      </x:c>
      <x:c r="L385" s="48" t="n">
        <x:v>1000</x:v>
      </x:c>
      <x:c r="M385" s="48" t="n">
        <x:v>0</x:v>
      </x:c>
      <x:c r="N385" s="48" t="n">
        <x:v>0.42</x:v>
      </x:c>
      <x:c r="O385" s="48" t="n">
        <x:v>0.29</x:v>
      </x:c>
      <x:c r="P385" s="48" t="n">
        <x:v>0.34</x:v>
      </x:c>
      <x:c r="Q385" s="48" t="n">
        <x:v>0.27</x:v>
      </x:c>
      <x:c r="R385" s="31" t="str">
        <x:v>ok</x:v>
      </x:c>
      <x:c r="S385" s="51" t="n">
        <x:v>0.9999833106994629</x:v>
      </x:c>
      <x:c r="T385" s="31" t="str">
        <x:v>https://mp.weixin.qq.com/s?__biz=MzUxOTMxNjk0OQ==&amp;mid=2247505966&amp;idx=1&amp;sn=3c8952367802a53c2c8d23f3f2e98609&amp;chksm=f9f9ec94ce8e65825c5826a5342f6153f3ac2df63110ca9fa0e1116bbd7ed3901d5f76239c59#rd</x:v>
      </x:c>
    </x:row>
    <x:row r="386">
      <x:c r="A386" s="36" t="d">
        <x:v>2026-01-20T00:00:00.000Z</x:v>
      </x:c>
      <x:c r="B386" s="48" t="n">
        <x:v>384.61</x:v>
      </x:c>
      <x:c r="C386" s="48" t="n">
        <x:v>183.93</x:v>
      </x:c>
      <x:c r="D386" s="48" t="n">
        <x:v>280.08</x:v>
      </x:c>
      <x:c r="E386" s="48" t="n">
        <x:v>171.71</x:v>
      </x:c>
      <x:c r="F386" s="48" t="n">
        <x:v>1000</x:v>
      </x:c>
      <x:c r="G386" s="48" t="n">
        <x:v>0</x:v>
      </x:c>
      <x:c r="H386" s="48" t="n">
        <x:v>1000</x:v>
      </x:c>
      <x:c r="I386" s="48" t="n">
        <x:v>0</x:v>
      </x:c>
      <x:c r="J386" s="48" t="n">
        <x:v>1000</x:v>
      </x:c>
      <x:c r="K386" s="48" t="n">
        <x:v>0</x:v>
      </x:c>
      <x:c r="L386" s="48" t="n">
        <x:v>1000</x:v>
      </x:c>
      <x:c r="M386" s="48" t="n">
        <x:v>0</x:v>
      </x:c>
      <x:c r="N386" s="48" t="n">
        <x:v>0.09</x:v>
      </x:c>
      <x:c r="O386" s="48" t="n">
        <x:v>0.58</x:v>
      </x:c>
      <x:c r="P386" s="48" t="n">
        <x:v>0.14</x:v>
      </x:c>
      <x:c r="Q386" s="48" t="n">
        <x:v>0.42</x:v>
      </x:c>
      <x:c r="R386" s="31" t="str">
        <x:v>ok</x:v>
      </x:c>
      <x:c r="S386" s="51" t="n">
        <x:v>0.9977420568466187</x:v>
      </x:c>
      <x:c r="T386" s="31" t="str">
        <x:v>https://mp.weixin.qq.com/s?__biz=MzUxOTMxNjk0OQ==&amp;mid=2247505970&amp;idx=1&amp;sn=0ba61a4099a91b976e17a6bf0493ee31&amp;chksm=f9f9ec88ce8e659e6c9a3739aede6705034641978578fe6cc227bcec9e503f2bf6723d7b73bc#rd</x:v>
      </x:c>
    </x:row>
    <x:row r="387">
      <x:c r="A387" s="36" t="d">
        <x:v>2026-01-21T00:00:00.000Z</x:v>
      </x:c>
      <x:c r="B387" s="48" t="n">
        <x:v>347.07</x:v>
      </x:c>
      <x:c r="C387" s="48" t="n">
        <x:v>168.73</x:v>
      </x:c>
      <x:c r="D387" s="48" t="n">
        <x:v>287.63</x:v>
      </x:c>
      <x:c r="E387" s="48" t="n">
        <x:v>120.96</x:v>
      </x:c>
      <x:c r="F387" s="48" t="n">
        <x:v>496.05</x:v>
      </x:c>
      <x:c r="G387" s="48" t="n">
        <x:v>0</x:v>
      </x:c>
      <x:c r="H387" s="48" t="n">
        <x:v>489</x:v>
      </x:c>
      <x:c r="I387" s="48" t="n">
        <x:v>0</x:v>
      </x:c>
      <x:c r="J387" s="48" t="n">
        <x:v>550</x:v>
      </x:c>
      <x:c r="K387" s="48" t="n">
        <x:v>0</x:v>
      </x:c>
      <x:c r="L387" s="48" t="n">
        <x:v>550</x:v>
      </x:c>
      <x:c r="M387" s="48" t="n">
        <x:v>0</x:v>
      </x:c>
      <x:c r="N387" s="48" t="n">
        <x:v>0.11</x:v>
      </x:c>
      <x:c r="O387" s="48" t="n">
        <x:v>0.6</x:v>
      </x:c>
      <x:c r="P387" s="48" t="n">
        <x:v>0.1</x:v>
      </x:c>
      <x:c r="Q387" s="48" t="n">
        <x:v>0.49</x:v>
      </x:c>
      <x:c r="R387" s="31" t="str">
        <x:v>ok</x:v>
      </x:c>
      <x:c r="S387" s="51" t="n">
        <x:v>0.9999834299087524</x:v>
      </x:c>
      <x:c r="T387" s="31" t="str">
        <x:v>https://mp.weixin.qq.com/s?__biz=MzUxOTMxNjk0OQ==&amp;mid=2247505981&amp;idx=1&amp;sn=8cfd07e4a6102d0f5cc3d5dc46569539&amp;chksm=f9f9ec87ce8e659115328f8086ff520915ac754400f07c2bdba0ff5661d47701dbacae130cb1#rd</x:v>
      </x:c>
    </x:row>
    <x:row r="388">
      <x:c r="A388" s="36" t="d">
        <x:v>2026-01-22T00:00:00.000Z</x:v>
      </x:c>
      <x:c r="B388" s="48" t="n">
        <x:v>360.8</x:v>
      </x:c>
      <x:c r="C388" s="48" t="n">
        <x:v>144.85</x:v>
      </x:c>
      <x:c r="D388" s="48" t="n">
        <x:v>318.67</x:v>
      </x:c>
      <x:c r="E388" s="48" t="n">
        <x:v>124.34</x:v>
      </x:c>
      <x:c r="F388" s="48" t="n">
        <x:v>570</x:v>
      </x:c>
      <x:c r="G388" s="48" t="n">
        <x:v>0</x:v>
      </x:c>
      <x:c r="H388" s="48" t="n">
        <x:v>570</x:v>
      </x:c>
      <x:c r="I388" s="48" t="n">
        <x:v>0</x:v>
      </x:c>
      <x:c r="J388" s="48" t="n">
        <x:v>573.18</x:v>
      </x:c>
      <x:c r="K388" s="48" t="n">
        <x:v>0</x:v>
      </x:c>
      <x:c r="L388" s="48" t="n">
        <x:v>573.18</x:v>
      </x:c>
      <x:c r="M388" s="48" t="n">
        <x:v>0</x:v>
      </x:c>
      <x:c r="N388" s="48" t="n">
        <x:v>0.25</x:v>
      </x:c>
      <x:c r="O388" s="48" t="n">
        <x:v>0.65</x:v>
      </x:c>
      <x:c r="P388" s="48" t="n">
        <x:v>0.27</x:v>
      </x:c>
      <x:c r="Q388" s="48" t="n">
        <x:v>0.62</x:v>
      </x:c>
      <x:c r="R388" s="31" t="str">
        <x:v>ok</x:v>
      </x:c>
      <x:c r="S388" s="51" t="n">
        <x:v>0.9992627501487732</x:v>
      </x:c>
      <x:c r="T388" s="31" t="str">
        <x:v>https://mp.weixin.qq.com/s?__biz=MzUxOTMxNjk0OQ==&amp;mid=2247505988&amp;idx=1&amp;sn=8e7954f34f310d54af4ee958579dda23&amp;chksm=f9f9ecfece8e65e88617c6ec132bd43ef711bf5604c9d7a8ea8d61e5dbb857cde7b5aa7bfa8a#rd</x:v>
      </x:c>
    </x:row>
    <x:row r="389">
      <x:c r="A389" s="36" t="d">
        <x:v>2026-01-23T00:00:00.000Z</x:v>
      </x:c>
      <x:c r="B389" s="48" t="n">
        <x:v>290.24</x:v>
      </x:c>
      <x:c r="C389" s="48" t="n">
        <x:v>116.66</x:v>
      </x:c>
      <x:c r="D389" s="48" t="n">
        <x:v>315.68</x:v>
      </x:c>
      <x:c r="E389" s="48" t="n">
        <x:v>154.84</x:v>
      </x:c>
      <x:c r="F389" s="48" t="n">
        <x:v>560.52</x:v>
      </x:c>
      <x:c r="G389" s="48" t="n">
        <x:v>0</x:v>
      </x:c>
      <x:c r="H389" s="48" t="n">
        <x:v>550</x:v>
      </x:c>
      <x:c r="I389" s="48" t="n">
        <x:v>0</x:v>
      </x:c>
      <x:c r="J389" s="48" t="n">
        <x:v>699.06</x:v>
      </x:c>
      <x:c r="K389" s="48" t="n">
        <x:v>0</x:v>
      </x:c>
      <x:c r="L389" s="48" t="n">
        <x:v>550</x:v>
      </x:c>
      <x:c r="M389" s="48" t="n">
        <x:v>0</x:v>
      </x:c>
      <x:c r="N389" s="48" t="n">
        <x:v>0.18</x:v>
      </x:c>
      <x:c r="O389" s="48" t="n">
        <x:v>0.77</x:v>
      </x:c>
      <x:c r="P389" s="48" t="n">
        <x:v>0.22</x:v>
      </x:c>
      <x:c r="Q389" s="48" t="n">
        <x:v>0.71</x:v>
      </x:c>
      <x:c r="R389" s="31" t="str">
        <x:v>ok</x:v>
      </x:c>
      <x:c r="S389" s="51" t="n">
        <x:v>0.999994158744812</x:v>
      </x:c>
      <x:c r="T389" s="31" t="str">
        <x:v>https://mp.weixin.qq.com/s?__biz=MzUxOTMxNjk0OQ==&amp;mid=2247505990&amp;idx=1&amp;sn=38bca7aa7d3f169b1f124fbc63b21cd3&amp;chksm=f9f9ecfcce8e65ea5b09240f1075c094dc90e78dea35a59dafbae8960d7ff002dfc6c845a333#rd</x:v>
      </x:c>
    </x:row>
    <x:row r="390">
      <x:c r="A390" s="36" t="d">
        <x:v>2026-01-24T00:00:00.000Z</x:v>
      </x:c>
      <x:c r="B390" s="48" t="n">
        <x:v>68.97</x:v>
      </x:c>
      <x:c r="C390" s="48" t="n">
        <x:v>12.19</x:v>
      </x:c>
      <x:c r="D390" s="48" t="n">
        <x:v>62.32</x:v>
      </x:c>
      <x:c r="E390" s="48" t="n">
        <x:v>3.35</x:v>
      </x:c>
      <x:c r="F390" s="48" t="n">
        <x:v>400</x:v>
      </x:c>
      <x:c r="G390" s="48" t="n">
        <x:v>0</x:v>
      </x:c>
      <x:c r="H390" s="48" t="n">
        <x:v>400</x:v>
      </x:c>
      <x:c r="I390" s="48" t="n">
        <x:v>0</x:v>
      </x:c>
      <x:c r="J390" s="48" t="n">
        <x:v>300</x:v>
      </x:c>
      <x:c r="K390" s="48" t="n">
        <x:v>0</x:v>
      </x:c>
      <x:c r="L390" s="48" t="n">
        <x:v>300</x:v>
      </x:c>
      <x:c r="M390" s="48" t="n">
        <x:v>0</x:v>
      </x:c>
      <x:c r="N390" s="48" t="n">
        <x:v>0.93</x:v>
      </x:c>
      <x:c r="O390" s="48" t="n">
        <x:v>0.63</x:v>
      </x:c>
      <x:c r="P390" s="48" t="n">
        <x:v>0.95</x:v>
      </x:c>
      <x:c r="Q390" s="48" t="n">
        <x:v>0.56</x:v>
      </x:c>
      <x:c r="R390" s="31" t="str">
        <x:v>ok</x:v>
      </x:c>
      <x:c r="S390" s="51" t="n">
        <x:v>0.9999959468841553</x:v>
      </x:c>
      <x:c r="T390" s="31" t="str">
        <x:v>https://mp.weixin.qq.com/s?__biz=MzUxOTMxNjk0OQ==&amp;mid=2247505995&amp;idx=2&amp;sn=e5af5cd5bf5eb12da36e4fd22cfb5868&amp;chksm=f9f9ecf1ce8e65e74d64b01891a3eed0e2044962f6083faa13295b3f323ddb05ca298d3c65a1#rd</x:v>
      </x:c>
    </x:row>
    <x:row r="391">
      <x:c r="A391" s="36" t="d">
        <x:v>2026-01-25T00:00:00.000Z</x:v>
      </x:c>
      <x:c r="B391" s="48" t="n">
        <x:v>127.47</x:v>
      </x:c>
      <x:c r="C391" s="48" t="n">
        <x:v>135.16</x:v>
      </x:c>
      <x:c r="D391" s="48" t="n">
        <x:v>188.99</x:v>
      </x:c>
      <x:c r="E391" s="48" t="n">
        <x:v>265.85</x:v>
      </x:c>
      <x:c r="F391" s="48" t="n">
        <x:v>365</x:v>
      </x:c>
      <x:c r="G391" s="48" t="n">
        <x:v>0</x:v>
      </x:c>
      <x:c r="H391" s="48" t="n">
        <x:v>365</x:v>
      </x:c>
      <x:c r="I391" s="48" t="n">
        <x:v>0</x:v>
      </x:c>
      <x:c r="J391" s="48" t="n">
        <x:v>353</x:v>
      </x:c>
      <x:c r="K391" s="48" t="n">
        <x:v>0</x:v>
      </x:c>
      <x:c r="L391" s="48" t="n">
        <x:v>353</x:v>
      </x:c>
      <x:c r="M391" s="48" t="n">
        <x:v>0</x:v>
      </x:c>
      <x:c r="N391" s="48" t="n">
        <x:v>0.77</x:v>
      </x:c>
      <x:c r="O391" s="48" t="n">
        <x:v>0.32</x:v>
      </x:c>
      <x:c r="P391" s="48" t="n">
        <x:v>0.73</x:v>
      </x:c>
      <x:c r="Q391" s="48" t="n">
        <x:v>0.28</x:v>
      </x:c>
      <x:c r="R391" s="31" t="str">
        <x:v>ok</x:v>
      </x:c>
      <x:c r="S391" s="51" t="n">
        <x:v>0.9999933242797852</x:v>
      </x:c>
      <x:c r="T391" s="31" t="str">
        <x:v>https://mp.weixin.qq.com/s?__biz=MzUxOTMxNjk0OQ==&amp;mid=2247506005&amp;idx=1&amp;sn=9cc9589a586def63365bf0301cd890f4&amp;chksm=f9f9ecefce8e65f95d9e438c0e723612d0ab93cd703e02d44968ce5778ff49a7a5da5663ceb9#rd</x:v>
      </x:c>
    </x:row>
    <x:row r="392">
      <x:c r="A392" s="36" t="d">
        <x:v>2026-01-26T00:00:00.000Z</x:v>
      </x:c>
      <x:c r="B392" s="48" t="n">
        <x:v>296.09</x:v>
      </x:c>
      <x:c r="C392" s="48" t="n">
        <x:v>81.09</x:v>
      </x:c>
      <x:c r="D392" s="48" t="n">
        <x:v>290.68</x:v>
      </x:c>
      <x:c r="E392" s="48" t="n">
        <x:v>106.31</x:v>
      </x:c>
      <x:c r="F392" s="48" t="n">
        <x:v>500</x:v>
      </x:c>
      <x:c r="G392" s="48" t="n">
        <x:v>0</x:v>
      </x:c>
      <x:c r="H392" s="48" t="n">
        <x:v>500</x:v>
      </x:c>
      <x:c r="I392" s="48" t="n">
        <x:v>0</x:v>
      </x:c>
      <x:c r="J392" s="48" t="n">
        <x:v>577.89</x:v>
      </x:c>
      <x:c r="K392" s="48" t="n">
        <x:v>0</x:v>
      </x:c>
      <x:c r="L392" s="48" t="n">
        <x:v>500</x:v>
      </x:c>
      <x:c r="M392" s="48" t="n">
        <x:v>0</x:v>
      </x:c>
      <x:c r="N392" s="48" t="n">
        <x:v>0.18</x:v>
      </x:c>
      <x:c r="O392" s="48" t="n">
        <x:v>0.75</x:v>
      </x:c>
      <x:c r="P392" s="48" t="n">
        <x:v>0.13</x:v>
      </x:c>
      <x:c r="Q392" s="48" t="n">
        <x:v>0.68</x:v>
      </x:c>
      <x:c r="R392" s="31" t="str">
        <x:v>ok</x:v>
      </x:c>
      <x:c r="S392" s="51" t="n">
        <x:v>0.9999953508377075</x:v>
      </x:c>
      <x:c r="T392" s="31" t="str">
        <x:v>https://mp.weixin.qq.com/s?__biz=MzUxOTMxNjk0OQ==&amp;mid=2247506009&amp;idx=1&amp;sn=543c1029286ed3afa6b13184b9c14466&amp;chksm=f9f9ece3ce8e65f52bc3f65e42c0553ecc21b8258677575aed80d5d0f3cef4fc6d8f7ad50bba#rd</x:v>
      </x:c>
    </x:row>
    <x:row r="393">
      <x:c r="A393" s="36" t="d">
        <x:v>2026-01-27T00:00:00.000Z</x:v>
      </x:c>
      <x:c r="B393" s="48" t="n">
        <x:v>287.9</x:v>
      </x:c>
      <x:c r="C393" s="48" t="n">
        <x:v>72.39</x:v>
      </x:c>
      <x:c r="D393" s="48" t="n">
        <x:v>303.39</x:v>
      </x:c>
      <x:c r="E393" s="48" t="n">
        <x:v>96.71</x:v>
      </x:c>
      <x:c r="F393" s="48" t="n">
        <x:v>1000</x:v>
      </x:c>
      <x:c r="G393" s="48" t="n">
        <x:v>0</x:v>
      </x:c>
      <x:c r="H393" s="48" t="n">
        <x:v>1000</x:v>
      </x:c>
      <x:c r="I393" s="48" t="n">
        <x:v>0</x:v>
      </x:c>
      <x:c r="J393" s="48" t="n">
        <x:v>1000</x:v>
      </x:c>
      <x:c r="K393" s="48" t="n">
        <x:v>0</x:v>
      </x:c>
      <x:c r="L393" s="48" t="n">
        <x:v>1000</x:v>
      </x:c>
      <x:c r="M393" s="48" t="n">
        <x:v>0</x:v>
      </x:c>
      <x:c r="N393" s="48" t="n">
        <x:v>0.15</x:v>
      </x:c>
      <x:c r="O393" s="48" t="n">
        <x:v>0.65</x:v>
      </x:c>
      <x:c r="P393" s="48" t="n">
        <x:v>0.15</x:v>
      </x:c>
      <x:c r="Q393" s="48" t="n">
        <x:v>0.59</x:v>
      </x:c>
      <x:c r="R393" s="31" t="str">
        <x:v>ok</x:v>
      </x:c>
      <x:c r="S393" s="51" t="n">
        <x:v>0.9999576807022095</x:v>
      </x:c>
      <x:c r="T393" s="31" t="str">
        <x:v>https://mp.weixin.qq.com/s?__biz=MzUxOTMxNjk0OQ==&amp;mid=2247506015&amp;idx=1&amp;sn=241009e92278979b0866613eba809b0b&amp;chksm=f9f9ece5ce8e65f3d6988143c7d334e65392d4c062e2ca7e43e37b0adb48d816b267dd1d83c3#rd</x:v>
      </x:c>
    </x:row>
    <x:row r="394">
      <x:c r="A394" s="36" t="d">
        <x:v>2026-01-28T00:00:00.000Z</x:v>
      </x:c>
      <x:c r="B394" s="48" t="n">
        <x:v>191.02</x:v>
      </x:c>
      <x:c r="C394" s="48" t="n">
        <x:v>35.05</x:v>
      </x:c>
      <x:c r="D394" s="48" t="n">
        <x:v>205.42</x:v>
      </x:c>
      <x:c r="E394" s="48" t="n">
        <x:v>40.94</x:v>
      </x:c>
      <x:c r="F394" s="48" t="n">
        <x:v>1000</x:v>
      </x:c>
      <x:c r="G394" s="48" t="n">
        <x:v>0</x:v>
      </x:c>
      <x:c r="H394" s="48" t="n">
        <x:v>1000</x:v>
      </x:c>
      <x:c r="I394" s="48" t="n">
        <x:v>0</x:v>
      </x:c>
      <x:c r="J394" s="48" t="n">
        <x:v>1000</x:v>
      </x:c>
      <x:c r="K394" s="48" t="n">
        <x:v>0</x:v>
      </x:c>
      <x:c r="L394" s="48" t="n">
        <x:v>1000</x:v>
      </x:c>
      <x:c r="M394" s="48" t="n">
        <x:v>0</x:v>
      </x:c>
      <x:c r="N394" s="48" t="n">
        <x:v>0.24</x:v>
      </x:c>
      <x:c r="O394" s="48" t="n">
        <x:v>0.75</x:v>
      </x:c>
      <x:c r="P394" s="48" t="n">
        <x:v>0.27</x:v>
      </x:c>
      <x:c r="Q394" s="48" t="n">
        <x:v>0.7</x:v>
      </x:c>
      <x:c r="R394" s="31" t="str">
        <x:v>ok</x:v>
      </x:c>
      <x:c r="S394" s="51" t="n">
        <x:v>0.970984160900116</x:v>
      </x:c>
      <x:c r="T394" s="31" t="str">
        <x:v>https://mp.weixin.qq.com/s?__biz=MzUxOTMxNjk0OQ==&amp;mid=2247506017&amp;idx=1&amp;sn=af353060d2bd5f2806b956a7a4338681&amp;chksm=f9f9ecdbce8e65cd9d68d57bec15431558d9df02326f11dca99e81c90d4da92d0b7a60e6a468#rd</x:v>
      </x:c>
    </x:row>
    <x:row r="395">
      <x:c r="A395" s="36" t="d">
        <x:v>2026-01-29T00:00:00.000Z</x:v>
      </x:c>
      <x:c r="B395" s="48" t="n">
        <x:v>165.27</x:v>
      </x:c>
      <x:c r="C395" s="48" t="n">
        <x:v>301.3</x:v>
      </x:c>
      <x:c r="D395" s="48" t="n">
        <x:v>124.8</x:v>
      </x:c>
      <x:c r="E395" s="48" t="n">
        <x:v>319.01</x:v>
      </x:c>
      <x:c r="F395" s="48" t="n">
        <x:v>1000</x:v>
      </x:c>
      <x:c r="G395" s="48" t="n">
        <x:v>0</x:v>
      </x:c>
      <x:c r="H395" s="48" t="n">
        <x:v>1000</x:v>
      </x:c>
      <x:c r="I395" s="48" t="n">
        <x:v>0</x:v>
      </x:c>
      <x:c r="J395" s="48" t="n">
        <x:v>1000</x:v>
      </x:c>
      <x:c r="K395" s="48" t="n">
        <x:v>0</x:v>
      </x:c>
      <x:c r="L395" s="48" t="n">
        <x:v>1000</x:v>
      </x:c>
      <x:c r="M395" s="48" t="n">
        <x:v>0</x:v>
      </x:c>
      <x:c r="N395" s="48" t="n">
        <x:v>0.59</x:v>
      </x:c>
      <x:c r="O395" s="48" t="n">
        <x:v>0.22</x:v>
      </x:c>
      <x:c r="P395" s="48" t="n">
        <x:v>0.57</x:v>
      </x:c>
      <x:c r="Q395" s="48" t="n">
        <x:v>0.22</x:v>
      </x:c>
      <x:c r="R395" s="31" t="str">
        <x:v>ok</x:v>
      </x:c>
      <x:c r="S395" s="51" t="n">
        <x:v>0.999947190284729</x:v>
      </x:c>
      <x:c r="T395" s="31" t="str">
        <x:v>https://mp.weixin.qq.com/s?__biz=MzUxOTMxNjk0OQ==&amp;mid=2247506021&amp;idx=1&amp;sn=428b540ff57d225cc15471e87ffc6ece&amp;chksm=f9f9ecdfce8e65c90310bcfac76e84904eb11e8319902757eaa2a3e4bacc0343e205f8205ab3#rd</x:v>
      </x:c>
    </x:row>
    <x:row r="396">
      <x:c r="A396" s="36" t="d">
        <x:v>2026-01-30T00:00:00.000Z</x:v>
      </x:c>
      <x:c r="B396" s="48" t="n">
        <x:v>236.39</x:v>
      </x:c>
      <x:c r="C396" s="48" t="n">
        <x:v>122.92</x:v>
      </x:c>
      <x:c r="D396" s="48" t="n">
        <x:v>188.06</x:v>
      </x:c>
      <x:c r="E396" s="48" t="n">
        <x:v>164.29</x:v>
      </x:c>
      <x:c r="F396" s="48" t="n">
        <x:v>1000</x:v>
      </x:c>
      <x:c r="G396" s="48" t="n">
        <x:v>0</x:v>
      </x:c>
      <x:c r="H396" s="48" t="n">
        <x:v>1000</x:v>
      </x:c>
      <x:c r="I396" s="48" t="n">
        <x:v>0</x:v>
      </x:c>
      <x:c r="J396" s="48" t="n">
        <x:v>1000</x:v>
      </x:c>
      <x:c r="K396" s="48" t="n">
        <x:v>0</x:v>
      </x:c>
      <x:c r="L396" s="48" t="n">
        <x:v>1000</x:v>
      </x:c>
      <x:c r="M396" s="48" t="n">
        <x:v>0</x:v>
      </x:c>
      <x:c r="N396" s="48" t="n">
        <x:v>0.32</x:v>
      </x:c>
      <x:c r="O396" s="48" t="n">
        <x:v>0.36</x:v>
      </x:c>
      <x:c r="P396" s="48" t="n">
        <x:v>0.36</x:v>
      </x:c>
      <x:c r="Q396" s="48" t="n">
        <x:v>0.33</x:v>
      </x:c>
      <x:c r="R396" s="31" t="str">
        <x:v>ok</x:v>
      </x:c>
      <x:c r="S396" s="51" t="n">
        <x:v>0.9966149926185608</x:v>
      </x:c>
      <x:c r="T396" s="31" t="str">
        <x:v>https://mp.weixin.qq.com/s?__biz=MzUxOTMxNjk0OQ==&amp;mid=2247506023&amp;idx=1&amp;sn=790b5ad170a829d8dd70fefb65947a1f&amp;chksm=f9f9ecddce8e65cb2dab6034cf3374270557e624f1c8faa5bddb54f5eb18d31a9288ffe12912#rd</x:v>
      </x:c>
    </x:row>
    <x:row r="397">
      <x:c r="A397" s="36" t="d">
        <x:v>2026-01-31T00:00:00.000Z</x:v>
      </x:c>
      <x:c r="B397" s="48" t="n">
        <x:v>239.12</x:v>
      </x:c>
      <x:c r="C397" s="48" t="n">
        <x:v>25.01</x:v>
      </x:c>
      <x:c r="D397" s="48" t="n">
        <x:v>294.11</x:v>
      </x:c>
      <x:c r="E397" s="48" t="n">
        <x:v>66.37</x:v>
      </x:c>
      <x:c r="F397" s="48" t="n">
        <x:v>1000</x:v>
      </x:c>
      <x:c r="G397" s="48" t="n">
        <x:v>0</x:v>
      </x:c>
      <x:c r="H397" s="48" t="n">
        <x:v>1000</x:v>
      </x:c>
      <x:c r="I397" s="48" t="n">
        <x:v>0</x:v>
      </x:c>
      <x:c r="J397" s="48" t="n">
        <x:v>1000</x:v>
      </x:c>
      <x:c r="K397" s="48" t="n">
        <x:v>0</x:v>
      </x:c>
      <x:c r="L397" s="48" t="n">
        <x:v>1000</x:v>
      </x:c>
      <x:c r="M397" s="48" t="n">
        <x:v>0</x:v>
      </x:c>
      <x:c r="N397" s="48" t="n">
        <x:v>0.1</x:v>
      </x:c>
      <x:c r="O397" s="48" t="n">
        <x:v>0.67</x:v>
      </x:c>
      <x:c r="P397" s="48" t="n">
        <x:v>0.11</x:v>
      </x:c>
      <x:c r="Q397" s="48" t="n">
        <x:v>0.62</x:v>
      </x:c>
      <x:c r="R397" s="31" t="str">
        <x:v>ok</x:v>
      </x:c>
      <x:c r="S397" s="51" t="n">
        <x:v>0.9995580911636353</x:v>
      </x:c>
      <x:c r="T397" s="31" t="str">
        <x:v>https://mp.weixin.qq.com/s?__biz=MzUxOTMxNjk0OQ==&amp;mid=2247506027&amp;idx=1&amp;sn=36b782fb3a8a9ff81a83e63a7c0fa615&amp;chksm=f9f9ecd1ce8e65c761c8855eeda3c2cccdb26f0ecff0f52b44c71a82b1b75f0e5c6c5bf8b0de#rd</x:v>
      </x:c>
    </x:row>
    <x:row r="398">
      <x:c r="A398" s="36" t="d">
        <x:v>2026-02-01T00:00:00.000Z</x:v>
      </x:c>
      <x:c r="B398" s="48" t="n">
        <x:v>287.49</x:v>
      </x:c>
      <x:c r="C398" s="48" t="n">
        <x:v>37.84</x:v>
      </x:c>
      <x:c r="D398" s="48" t="n">
        <x:v>230.52</x:v>
      </x:c>
      <x:c r="E398" s="48" t="n">
        <x:v>22.98</x:v>
      </x:c>
      <x:c r="F398" s="48" t="n">
        <x:v>1000</x:v>
      </x:c>
      <x:c r="G398" s="48" t="n">
        <x:v>0</x:v>
      </x:c>
      <x:c r="H398" s="48" t="n">
        <x:v>1000</x:v>
      </x:c>
      <x:c r="I398" s="48" t="n">
        <x:v>0</x:v>
      </x:c>
      <x:c r="J398" s="48" t="n">
        <x:v>400</x:v>
      </x:c>
      <x:c r="K398" s="48" t="n">
        <x:v>0</x:v>
      </x:c>
      <x:c r="L398" s="48" t="n">
        <x:v>400</x:v>
      </x:c>
      <x:c r="M398" s="48" t="n">
        <x:v>0</x:v>
      </x:c>
      <x:c r="N398" s="48" t="n">
        <x:v>0.26</x:v>
      </x:c>
      <x:c r="O398" s="48" t="n">
        <x:v>0.68</x:v>
      </x:c>
      <x:c r="P398" s="48" t="n">
        <x:v>0.35</x:v>
      </x:c>
      <x:c r="Q398" s="48" t="n">
        <x:v>0.58</x:v>
      </x:c>
      <x:c r="R398" s="31" t="str">
        <x:v>ok</x:v>
      </x:c>
      <x:c r="S398" s="51" t="n">
        <x:v>0.956674337387085</x:v>
      </x:c>
      <x:c r="T398" s="31" t="str">
        <x:v>https://mp.weixin.qq.com/s?__biz=MzUxOTMxNjk0OQ==&amp;mid=2247506054&amp;idx=1&amp;sn=290dc678ee3f38ff00153e8e92ac0fb0&amp;chksm=f9f9ec3cce8e652a261e8a2faa95c647735bcf337edd9d53c1d52cc929e509f9216e1715b1a8#rd</x:v>
      </x:c>
    </x:row>
    <x:row r="399">
      <x:c r="A399" s="36" t="d">
        <x:v>2026-02-02T00:00:00.000Z</x:v>
      </x:c>
      <x:c r="B399" s="48" t="n">
        <x:v>217.18</x:v>
      </x:c>
      <x:c r="C399" s="48" t="n">
        <x:v>37.73</x:v>
      </x:c>
      <x:c r="D399" s="48" t="n">
        <x:v>225.7</x:v>
      </x:c>
      <x:c r="E399" s="48" t="n">
        <x:v>42.28</x:v>
      </x:c>
      <x:c r="F399" s="48" t="n">
        <x:v>480</x:v>
      </x:c>
      <x:c r="G399" s="48" t="n">
        <x:v>0</x:v>
      </x:c>
      <x:c r="H399" s="48" t="n">
        <x:v>480</x:v>
      </x:c>
      <x:c r="I399" s="48" t="n">
        <x:v>0</x:v>
      </x:c>
      <x:c r="J399" s="48" t="n">
        <x:v>470</x:v>
      </x:c>
      <x:c r="K399" s="48" t="n">
        <x:v>0</x:v>
      </x:c>
      <x:c r="L399" s="48" t="n">
        <x:v>470</x:v>
      </x:c>
      <x:c r="M399" s="48" t="n">
        <x:v>0</x:v>
      </x:c>
      <x:c r="N399" s="48" t="n">
        <x:v>0.37</x:v>
      </x:c>
      <x:c r="O399" s="48" t="n">
        <x:v>0.67</x:v>
      </x:c>
      <x:c r="P399" s="48" t="n">
        <x:v>0.41</x:v>
      </x:c>
      <x:c r="Q399" s="48" t="n">
        <x:v>0.68</x:v>
      </x:c>
      <x:c r="R399" s="31" t="str">
        <x:v>ok</x:v>
      </x:c>
      <x:c r="S399" s="51" t="n">
        <x:v>0.997501015663147</x:v>
      </x:c>
      <x:c r="T399" s="31" t="str">
        <x:v>https://mp.weixin.qq.com/s?__biz=MzUxOTMxNjk0OQ==&amp;mid=2247506058&amp;idx=1&amp;sn=2460be0430b31a133b5f90166aaca94a&amp;chksm=f9f9ec30ce8e65263b1b4f0550a1965221c45d15b87ef5d5a5e3001341264f484ac256789626#rd</x:v>
      </x:c>
    </x:row>
    <x:row r="400">
      <x:c r="A400" s="36" t="d">
        <x:v>2026-02-03T00:00:00.000Z</x:v>
      </x:c>
      <x:c r="B400" s="48" t="n">
        <x:v>145.01</x:v>
      </x:c>
      <x:c r="C400" s="48" t="n">
        <x:v>73.42</x:v>
      </x:c>
      <x:c r="D400" s="48" t="n">
        <x:v>147.24</x:v>
      </x:c>
      <x:c r="E400" s="48" t="n">
        <x:v>94.12</x:v>
      </x:c>
      <x:c r="F400" s="48" t="n">
        <x:v>470</x:v>
      </x:c>
      <x:c r="G400" s="48" t="n">
        <x:v>0</x:v>
      </x:c>
      <x:c r="H400" s="48" t="n">
        <x:v>470</x:v>
      </x:c>
      <x:c r="I400" s="48" t="n">
        <x:v>0</x:v>
      </x:c>
      <x:c r="J400" s="48" t="n">
        <x:v>497.36</x:v>
      </x:c>
      <x:c r="K400" s="48" t="n">
        <x:v>0</x:v>
      </x:c>
      <x:c r="L400" s="48" t="n">
        <x:v>400</x:v>
      </x:c>
      <x:c r="M400" s="48" t="n">
        <x:v>0</x:v>
      </x:c>
      <x:c r="N400" s="48" t="n">
        <x:v>0.55</x:v>
      </x:c>
      <x:c r="O400" s="48" t="n">
        <x:v>0.58</x:v>
      </x:c>
      <x:c r="P400" s="48" t="n">
        <x:v>0.55</x:v>
      </x:c>
      <x:c r="Q400" s="48" t="n">
        <x:v>0.59</x:v>
      </x:c>
      <x:c r="R400" s="31" t="str">
        <x:v>ok</x:v>
      </x:c>
      <x:c r="S400" s="51" t="n">
        <x:v>0.9999959468841553</x:v>
      </x:c>
      <x:c r="T400" s="31" t="str">
        <x:v>https://mp.weixin.qq.com/s?__biz=MzUxOTMxNjk0OQ==&amp;mid=2247506064&amp;idx=1&amp;sn=b380604520884921a77afddc2a272817&amp;chksm=f9f9ec2ace8e653c0607013c5f3f93c194058cd44fbcb0355314134bfbc046e25523c1d183ae#rd</x:v>
      </x:c>
    </x:row>
    <x:row r="401">
      <x:c r="A401" s="36" t="d">
        <x:v>2026-02-04T00:00:00.000Z</x:v>
      </x:c>
      <x:c r="B401" s="48" t="n">
        <x:v>238.58</x:v>
      </x:c>
      <x:c r="C401" s="48" t="n">
        <x:v>51.47</x:v>
      </x:c>
      <x:c r="D401" s="48" t="n">
        <x:v>310.8</x:v>
      </x:c>
      <x:c r="E401" s="48" t="n">
        <x:v>70.13</x:v>
      </x:c>
      <x:c r="F401" s="48" t="n">
        <x:v>1000</x:v>
      </x:c>
      <x:c r="G401" s="48" t="n">
        <x:v>0</x:v>
      </x:c>
      <x:c r="H401" s="48" t="n">
        <x:v>1000</x:v>
      </x:c>
      <x:c r="I401" s="48" t="n">
        <x:v>0</x:v>
      </x:c>
      <x:c r="J401" s="48" t="n">
        <x:v>1000</x:v>
      </x:c>
      <x:c r="K401" s="48" t="n">
        <x:v>0</x:v>
      </x:c>
      <x:c r="L401" s="48" t="n">
        <x:v>1000</x:v>
      </x:c>
      <x:c r="M401" s="48" t="n">
        <x:v>0</x:v>
      </x:c>
      <x:c r="N401" s="48" t="n">
        <x:v>0.33</x:v>
      </x:c>
      <x:c r="O401" s="48" t="n">
        <x:v>0.63</x:v>
      </x:c>
      <x:c r="P401" s="48" t="n">
        <x:v>0.37</x:v>
      </x:c>
      <x:c r="Q401" s="48" t="n">
        <x:v>0.57</x:v>
      </x:c>
      <x:c r="R401" s="31" t="str">
        <x:v>ok</x:v>
      </x:c>
      <x:c r="S401" s="51" t="n">
        <x:v>0.9997400641441345</x:v>
      </x:c>
      <x:c r="T401" s="31" t="str">
        <x:v>https://mp.weixin.qq.com/s?__biz=MzUxOTMxNjk0OQ==&amp;mid=2247506100&amp;idx=1&amp;sn=4923f13c53b34861cc17eb6de816a0a8&amp;chksm=f9f9ec0ece8e6518861fee3f5e1a1625325b1e1b75869a61d28055faa689f5c610c9760d0989#rd</x:v>
      </x:c>
    </x:row>
    <x:row r="402">
      <x:c r="A402" s="36" t="d">
        <x:v>2026-02-05T00:00:00.000Z</x:v>
      </x:c>
      <x:c r="B402" s="48" t="n">
        <x:v>386.36</x:v>
      </x:c>
      <x:c r="C402" s="48" t="n">
        <x:v>146.63</x:v>
      </x:c>
      <x:c r="D402" s="48" t="n">
        <x:v>371.6</x:v>
      </x:c>
      <x:c r="E402" s="48" t="n">
        <x:v>155.03</x:v>
      </x:c>
      <x:c r="F402" s="48" t="n">
        <x:v>1000</x:v>
      </x:c>
      <x:c r="G402" s="48" t="n">
        <x:v>0</x:v>
      </x:c>
      <x:c r="H402" s="48" t="n">
        <x:v>1000</x:v>
      </x:c>
      <x:c r="I402" s="48" t="n">
        <x:v>0</x:v>
      </x:c>
      <x:c r="J402" s="48" t="n">
        <x:v>1000</x:v>
      </x:c>
      <x:c r="K402" s="48" t="n">
        <x:v>0</x:v>
      </x:c>
      <x:c r="L402" s="48" t="n">
        <x:v>1000</x:v>
      </x:c>
      <x:c r="M402" s="48" t="n">
        <x:v>0</x:v>
      </x:c>
      <x:c r="N402" s="48" t="n">
        <x:v>0.16</x:v>
      </x:c>
      <x:c r="O402" s="48" t="n">
        <x:v>0.62</x:v>
      </x:c>
      <x:c r="P402" s="48" t="n">
        <x:v>0.19</x:v>
      </x:c>
      <x:c r="Q402" s="48" t="n">
        <x:v>0.56</x:v>
      </x:c>
      <x:c r="R402" s="31" t="str">
        <x:v>ok</x:v>
      </x:c>
      <x:c r="S402" s="51" t="n">
        <x:v>0.9652947783470154</x:v>
      </x:c>
      <x:c r="T402" s="31" t="str">
        <x:v>https://mp.weixin.qq.com/s?__biz=MzUxOTMxNjk0OQ==&amp;mid=2247506106&amp;idx=1&amp;sn=b2781d32b79b2fa3f43cf77776a0983f&amp;chksm=f9f9ec00ce8e65165595b2aa0c3923621fbc43aacd1d20a33382d6c7148ee37cd42f094c4eb8#rd</x:v>
      </x:c>
    </x:row>
    <x:row r="403">
      <x:c r="A403" s="36" t="d">
        <x:v>2026-02-06T00:00:00.000Z</x:v>
      </x:c>
      <x:c r="B403" s="48" t="n">
        <x:v>168.76</x:v>
      </x:c>
      <x:c r="C403" s="48" t="n">
        <x:v>59.06</x:v>
      </x:c>
      <x:c r="D403" s="48" t="n">
        <x:v>171.08</x:v>
      </x:c>
      <x:c r="E403" s="48" t="n">
        <x:v>62.34</x:v>
      </x:c>
      <x:c r="F403" s="48" t="n">
        <x:v>375</x:v>
      </x:c>
      <x:c r="G403" s="48" t="n">
        <x:v>0</x:v>
      </x:c>
      <x:c r="H403" s="48" t="n">
        <x:v>375</x:v>
      </x:c>
      <x:c r="I403" s="48" t="n">
        <x:v>0</x:v>
      </x:c>
      <x:c r="J403" s="48" t="n">
        <x:v>371</x:v>
      </x:c>
      <x:c r="K403" s="48" t="n">
        <x:v>0</x:v>
      </x:c>
      <x:c r="L403" s="48" t="n">
        <x:v>371</x:v>
      </x:c>
      <x:c r="M403" s="48" t="n">
        <x:v>0</x:v>
      </x:c>
      <x:c r="N403" s="48" t="n">
        <x:v>0.51</x:v>
      </x:c>
      <x:c r="O403" s="48" t="n">
        <x:v>0.59</x:v>
      </x:c>
      <x:c r="P403" s="48" t="n">
        <x:v>0.59</x:v>
      </x:c>
      <x:c r="Q403" s="48" t="n">
        <x:v>0.52</x:v>
      </x:c>
      <x:c r="R403" s="31" t="str">
        <x:v>ok</x:v>
      </x:c>
      <x:c r="S403" s="51" t="n">
        <x:v>0.9999909996986389</x:v>
      </x:c>
      <x:c r="T403" s="31" t="str">
        <x:v>https://mp.weixin.qq.com/s?__biz=MzUxOTMxNjk0OQ==&amp;mid=2247506108&amp;idx=1&amp;sn=3849e30df2e7287c9053156dc1ba9b14&amp;chksm=f9f9ec06ce8e6510a7849901a405181a9490da574744dd4a3ddf2bc73cfdf6d52788168142d1#rd</x:v>
      </x:c>
    </x:row>
    <x:row r="404">
      <x:c r="A404" s="36" t="d">
        <x:v>2026-02-07T00:00:00.000Z</x:v>
      </x:c>
      <x:c r="B404" s="48" t="n">
        <x:v>197.65</x:v>
      </x:c>
      <x:c r="C404" s="48" t="n">
        <x:v>22.28</x:v>
      </x:c>
      <x:c r="D404" s="48" t="n">
        <x:v>241.19</x:v>
      </x:c>
      <x:c r="E404" s="48" t="n">
        <x:v>23.54</x:v>
      </x:c>
      <x:c r="F404" s="48" t="n">
        <x:v>1000</x:v>
      </x:c>
      <x:c r="G404" s="48" t="n">
        <x:v>0</x:v>
      </x:c>
      <x:c r="H404" s="48" t="n">
        <x:v>1000</x:v>
      </x:c>
      <x:c r="I404" s="48" t="n">
        <x:v>0</x:v>
      </x:c>
      <x:c r="J404" s="48" t="n">
        <x:v>1000</x:v>
      </x:c>
      <x:c r="K404" s="48" t="n">
        <x:v>0</x:v>
      </x:c>
      <x:c r="L404" s="48" t="n">
        <x:v>1000</x:v>
      </x:c>
      <x:c r="M404" s="48" t="n">
        <x:v>0</x:v>
      </x:c>
      <x:c r="N404" s="48" t="n">
        <x:v>0.43</x:v>
      </x:c>
      <x:c r="O404" s="48" t="n">
        <x:v>0.62</x:v>
      </x:c>
      <x:c r="P404" s="48" t="n">
        <x:v>0.41</x:v>
      </x:c>
      <x:c r="Q404" s="48" t="n">
        <x:v>0.61</x:v>
      </x:c>
      <x:c r="R404" s="31" t="str">
        <x:v>ok</x:v>
      </x:c>
      <x:c r="S404" s="51" t="n">
        <x:v>0.9996534585952759</x:v>
      </x:c>
      <x:c r="T404" s="31" t="str">
        <x:v>https://mp.weixin.qq.com/s?__biz=MzUxOTMxNjk0OQ==&amp;mid=2247506116&amp;idx=1&amp;sn=4e516d16fb1288d1cf225451b751ed57&amp;chksm=f9f9ec7ece8e6568e174f07f2e18e8d59aa19dfb4c4d22eb26e4c40aa00b0b1cc74b871c417c#rd</x:v>
      </x:c>
    </x:row>
    <x:row r="405">
      <x:c r="A405" s="36" t="d">
        <x:v>2026-02-08T00:00:00.000Z</x:v>
      </x:c>
      <x:c r="B405" s="48" t="n">
        <x:v>194.97</x:v>
      </x:c>
      <x:c r="C405" s="48" t="n">
        <x:v>27.17</x:v>
      </x:c>
      <x:c r="D405" s="48" t="n">
        <x:v>172.66</x:v>
      </x:c>
      <x:c r="E405" s="48" t="n">
        <x:v>13.87</x:v>
      </x:c>
      <x:c r="F405" s="48" t="n">
        <x:v>1000</x:v>
      </x:c>
      <x:c r="G405" s="48" t="n">
        <x:v>0</x:v>
      </x:c>
      <x:c r="H405" s="48" t="n">
        <x:v>1000</x:v>
      </x:c>
      <x:c r="I405" s="48" t="n">
        <x:v>0</x:v>
      </x:c>
      <x:c r="J405" s="48" t="n">
        <x:v>1000</x:v>
      </x:c>
      <x:c r="K405" s="48" t="n">
        <x:v>0</x:v>
      </x:c>
      <x:c r="L405" s="48" t="n">
        <x:v>1000</x:v>
      </x:c>
      <x:c r="M405" s="48" t="n">
        <x:v>0</x:v>
      </x:c>
      <x:c r="N405" s="48" t="n">
        <x:v>0.52</x:v>
      </x:c>
      <x:c r="O405" s="48" t="n">
        <x:v>0.68</x:v>
      </x:c>
      <x:c r="P405" s="48" t="n">
        <x:v>0.53</x:v>
      </x:c>
      <x:c r="Q405" s="48" t="n">
        <x:v>0.57</x:v>
      </x:c>
      <x:c r="R405" s="31" t="str">
        <x:v>ok</x:v>
      </x:c>
      <x:c r="S405" s="51" t="n">
        <x:v>0.9999750256538391</x:v>
      </x:c>
      <x:c r="T405" s="31" t="str">
        <x:v>https://mp.weixin.qq.com/s?__biz=MzUxOTMxNjk0OQ==&amp;mid=2247506124&amp;idx=1&amp;sn=4b2d9d977502019caff9185b30b191a4&amp;chksm=f9f9ec76ce8e656088a5e576bb5410afbc319f2b572a348012b71ba091492deb4524991c5fd0#rd</x:v>
      </x:c>
    </x:row>
    <x:row r="406">
      <x:c r="A406" s="36" t="d">
        <x:v>2026-02-09T00:00:00.000Z</x:v>
      </x:c>
      <x:c r="B406" s="48" t="n">
        <x:v>184.7</x:v>
      </x:c>
      <x:c r="C406" s="48" t="n">
        <x:v>47.62</x:v>
      </x:c>
      <x:c r="D406" s="48" t="n">
        <x:v>197.44</x:v>
      </x:c>
      <x:c r="E406" s="48" t="n">
        <x:v>101.07</x:v>
      </x:c>
      <x:c r="F406" s="48" t="n">
        <x:v>1000</x:v>
      </x:c>
      <x:c r="G406" s="48" t="n">
        <x:v>0</x:v>
      </x:c>
      <x:c r="H406" s="48" t="n">
        <x:v>1000</x:v>
      </x:c>
      <x:c r="I406" s="48" t="n">
        <x:v>0</x:v>
      </x:c>
      <x:c r="J406" s="48" t="n">
        <x:v>365</x:v>
      </x:c>
      <x:c r="K406" s="48" t="n">
        <x:v>0</x:v>
      </x:c>
      <x:c r="L406" s="48" t="n">
        <x:v>365</x:v>
      </x:c>
      <x:c r="M406" s="48" t="n">
        <x:v>0</x:v>
      </x:c>
      <x:c r="N406" s="48" t="n">
        <x:v>0.86</x:v>
      </x:c>
      <x:c r="O406" s="48" t="n">
        <x:v>0.61</x:v>
      </x:c>
      <x:c r="P406" s="48" t="n">
        <x:v>0.78</x:v>
      </x:c>
      <x:c r="Q406" s="48" t="n">
        <x:v>0.53</x:v>
      </x:c>
      <x:c r="R406" s="31" t="str">
        <x:v>ok</x:v>
      </x:c>
      <x:c r="S406" s="51" t="n">
        <x:v>0.9975273609161377</x:v>
      </x:c>
      <x:c r="T406" s="31" t="str">
        <x:v>https://mp.weixin.qq.com/s?__biz=MzUxOTMxNjk0OQ==&amp;mid=2247506128&amp;idx=1&amp;sn=d67359cab0569e429520d64a7af2e4b5&amp;chksm=f9f9ec6ace8e657cd4e51fefcbead3b3e54e03a8b99866e4b29ec82b05857d7b02c392b93fe0#rd</x:v>
      </x:c>
    </x:row>
    <x:row r="407">
      <x:c r="A407" s="36" t="d">
        <x:v>2026-02-10T00:00:00.000Z</x:v>
      </x:c>
      <x:c r="B407" s="48" t="n">
        <x:v>40.34</x:v>
      </x:c>
      <x:c r="C407" s="48" t="n">
        <x:v>5.56</x:v>
      </x:c>
      <x:c r="D407" s="48" t="n">
        <x:v>38.79</x:v>
      </x:c>
      <x:c r="E407" s="48" t="n">
        <x:v>9.15</x:v>
      </x:c>
      <x:c r="F407" s="48" t="n">
        <x:v>1000</x:v>
      </x:c>
      <x:c r="G407" s="48" t="n">
        <x:v>0</x:v>
      </x:c>
      <x:c r="H407" s="48" t="n">
        <x:v>1000</x:v>
      </x:c>
      <x:c r="I407" s="48" t="n">
        <x:v>0</x:v>
      </x:c>
      <x:c r="J407" s="48" t="n">
        <x:v>1000</x:v>
      </x:c>
      <x:c r="K407" s="48" t="n">
        <x:v>0</x:v>
      </x:c>
      <x:c r="L407" s="48" t="n">
        <x:v>1000</x:v>
      </x:c>
      <x:c r="M407" s="48" t="n">
        <x:v>0</x:v>
      </x:c>
      <x:c r="N407" s="48" t="n">
        <x:v>0.71</x:v>
      </x:c>
      <x:c r="O407" s="48" t="n">
        <x:v>0.57</x:v>
      </x:c>
      <x:c r="P407" s="48" t="n">
        <x:v>0.66</x:v>
      </x:c>
      <x:c r="Q407" s="48" t="n">
        <x:v>0.55</x:v>
      </x:c>
      <x:c r="R407" s="31" t="str">
        <x:v>ok</x:v>
      </x:c>
      <x:c r="S407" s="51" t="n">
        <x:v>0.9999716281890869</x:v>
      </x:c>
      <x:c r="T407" s="31" t="str">
        <x:v>https://mp.weixin.qq.com/s?__biz=MzUxOTMxNjk0OQ==&amp;mid=2247506160&amp;idx=1&amp;sn=8696d8bfdb4d602377cb74478b055cae&amp;chksm=f9f9ec4ace8e655c64e0e0e340ef89f71cf38be718c0baa3719b791824b68e1a1b0b577994af#rd</x:v>
      </x:c>
    </x:row>
    <x:row r="408">
      <x:c r="A408" s="36" t="d">
        <x:v>2026-02-11T00:00:00.000Z</x:v>
      </x:c>
      <x:c r="B408" s="48" t="n">
        <x:v>132.05</x:v>
      </x:c>
      <x:c r="C408" s="48" t="n">
        <x:v>6.28</x:v>
      </x:c>
      <x:c r="D408" s="48" t="n">
        <x:v>116.34</x:v>
      </x:c>
      <x:c r="E408" s="48" t="n">
        <x:v>17.43</x:v>
      </x:c>
      <x:c r="F408" s="48" t="n">
        <x:v>398</x:v>
      </x:c>
      <x:c r="G408" s="48" t="n">
        <x:v>0</x:v>
      </x:c>
      <x:c r="H408" s="48" t="n">
        <x:v>398</x:v>
      </x:c>
      <x:c r="I408" s="48" t="n">
        <x:v>0</x:v>
      </x:c>
      <x:c r="J408" s="48" t="n">
        <x:v>500</x:v>
      </x:c>
      <x:c r="K408" s="48" t="n">
        <x:v>0</x:v>
      </x:c>
      <x:c r="L408" s="48" t="n">
        <x:v>500</x:v>
      </x:c>
      <x:c r="M408" s="48" t="n">
        <x:v>0</x:v>
      </x:c>
      <x:c r="N408" s="48" t="n">
        <x:v>0.56</x:v>
      </x:c>
      <x:c r="O408" s="48" t="n">
        <x:v>0.59</x:v>
      </x:c>
      <x:c r="P408" s="48" t="n">
        <x:v>0.48</x:v>
      </x:c>
      <x:c r="Q408" s="48" t="n">
        <x:v>0.51</x:v>
      </x:c>
      <x:c r="R408" s="31" t="str">
        <x:v>ok</x:v>
      </x:c>
      <x:c r="S408" s="51" t="n">
        <x:v>0.9981986880302429</x:v>
      </x:c>
      <x:c r="T408" s="31" t="str">
        <x:v>https://mp.weixin.qq.com/s?__biz=MzUxOTMxNjk0OQ==&amp;mid=2247506164&amp;idx=1&amp;sn=e236553d06897ae0e096bf033b031ed4&amp;chksm=f9f9ec4ece8e65581d8d2be41a5d8d791a42bb6ef1c9f3e9681e6bfde937530dbd04c725c4cf#rd</x:v>
      </x:c>
    </x:row>
    <x:row r="409">
      <x:c r="A409" s="36" t="d">
        <x:v>2026-02-12T00:00:00.000Z</x:v>
      </x:c>
      <x:c r="B409" s="48" t="n">
        <x:v>272.35</x:v>
      </x:c>
      <x:c r="C409" s="48" t="n">
        <x:v>22.74</x:v>
      </x:c>
      <x:c r="D409" s="48" t="n">
        <x:v>226.79</x:v>
      </x:c>
      <x:c r="E409" s="48" t="n">
        <x:v>20.93</x:v>
      </x:c>
      <x:c r="F409" s="48" t="n">
        <x:v>1000</x:v>
      </x:c>
      <x:c r="G409" s="48" t="n">
        <x:v>0</x:v>
      </x:c>
      <x:c r="H409" s="48" t="n">
        <x:v>1000</x:v>
      </x:c>
      <x:c r="I409" s="48" t="n">
        <x:v>0</x:v>
      </x:c>
      <x:c r="J409" s="48" t="n">
        <x:v>600</x:v>
      </x:c>
      <x:c r="K409" s="48" t="n">
        <x:v>0</x:v>
      </x:c>
      <x:c r="L409" s="48" t="n">
        <x:v>600</x:v>
      </x:c>
      <x:c r="M409" s="48" t="n">
        <x:v>0</x:v>
      </x:c>
      <x:c r="N409" s="48" t="n">
        <x:v>0.42</x:v>
      </x:c>
      <x:c r="O409" s="48" t="n">
        <x:v>0.66</x:v>
      </x:c>
      <x:c r="P409" s="48" t="n">
        <x:v>0.45</x:v>
      </x:c>
      <x:c r="Q409" s="48" t="n">
        <x:v>0.6</x:v>
      </x:c>
      <x:c r="R409" s="31" t="str">
        <x:v>ok</x:v>
      </x:c>
      <x:c r="S409" s="51" t="n">
        <x:v>0.9152536988258362</x:v>
      </x:c>
      <x:c r="T409" s="31" t="str">
        <x:v>https://mp.weixin.qq.com/s?__biz=MzUxOTMxNjk0OQ==&amp;mid=2247506182&amp;idx=1&amp;sn=8af278dc800d76b7b001489903e1ceee&amp;chksm=f9f9edbcce8e64aa78f673c08bdaac312464ac79c0173f1f55132955f0923c779eb156f1ae04#rd</x:v>
      </x:c>
    </x:row>
    <x:row r="410">
      <x:c r="A410" s="36" t="d">
        <x:v>2026-02-13T00:00:00.000Z</x:v>
      </x:c>
      <x:c r="B410" s="48" t="n">
        <x:v>291.58</x:v>
      </x:c>
      <x:c r="C410" s="48" t="n">
        <x:v>24.36</x:v>
      </x:c>
      <x:c r="D410" s="48" t="n">
        <x:v>228.06</x:v>
      </x:c>
      <x:c r="E410" s="48" t="n">
        <x:v>16.73</x:v>
      </x:c>
      <x:c r="F410" s="48" t="n">
        <x:v>800</x:v>
      </x:c>
      <x:c r="G410" s="48" t="n">
        <x:v>0</x:v>
      </x:c>
      <x:c r="H410" s="48" t="n">
        <x:v>800</x:v>
      </x:c>
      <x:c r="I410" s="48" t="n">
        <x:v>0</x:v>
      </x:c>
      <x:c r="J410" s="48" t="n">
        <x:v>1000</x:v>
      </x:c>
      <x:c r="K410" s="48" t="n">
        <x:v>0</x:v>
      </x:c>
      <x:c r="L410" s="48" t="n">
        <x:v>1000</x:v>
      </x:c>
      <x:c r="M410" s="48" t="n">
        <x:v>0</x:v>
      </x:c>
      <x:c r="N410" s="48" t="n">
        <x:v>0.4</x:v>
      </x:c>
      <x:c r="O410" s="48" t="n">
        <x:v>0.64</x:v>
      </x:c>
      <x:c r="P410" s="48" t="n">
        <x:v>0.36</x:v>
      </x:c>
      <x:c r="Q410" s="48" t="n">
        <x:v>0.5</x:v>
      </x:c>
      <x:c r="R410" s="31" t="str">
        <x:v>ok</x:v>
      </x:c>
      <x:c r="S410" s="51" t="n">
        <x:v>0.9999610781669617</x:v>
      </x:c>
      <x:c r="T410" s="31" t="str">
        <x:v>https://mp.weixin.qq.com/s?__biz=MzUxOTMxNjk0OQ==&amp;mid=2247506192&amp;idx=1&amp;sn=fb654af183e4bb740a5e67a507040cd4&amp;chksm=f9f9edaace8e64bc631f9bc4c86d703fbc1bd049f40b3022adb10d914ac47614846a539827f9#rd</x:v>
      </x:c>
    </x:row>
    <x:row r="411">
      <x:c r="A411" s="36" t="d">
        <x:v>2026-02-14T00:00:00.000Z</x:v>
      </x:c>
      <x:c r="B411" s="48" t="n">
        <x:v>69.03</x:v>
      </x:c>
      <x:c r="C411" s="48" t="n">
        <x:v>12.27</x:v>
      </x:c>
      <x:c r="D411" s="48" t="n">
        <x:v>40.72</x:v>
      </x:c>
      <x:c r="E411" s="48" t="n">
        <x:v>0.75</x:v>
      </x:c>
      <x:c r="F411" s="48" t="n">
        <x:v>600</x:v>
      </x:c>
      <x:c r="G411" s="48" t="n">
        <x:v>0</x:v>
      </x:c>
      <x:c r="H411" s="48" t="n">
        <x:v>600</x:v>
      </x:c>
      <x:c r="I411" s="48" t="n">
        <x:v>0</x:v>
      </x:c>
      <x:c r="J411" s="48" t="n">
        <x:v>299</x:v>
      </x:c>
      <x:c r="K411" s="48" t="n">
        <x:v>0</x:v>
      </x:c>
      <x:c r="L411" s="48" t="n">
        <x:v>299</x:v>
      </x:c>
      <x:c r="M411" s="48" t="n">
        <x:v>0</x:v>
      </x:c>
      <x:c r="N411" s="48" t="n">
        <x:v>0.76</x:v>
      </x:c>
      <x:c r="O411" s="48" t="n">
        <x:v>0.5</x:v>
      </x:c>
      <x:c r="P411" s="48" t="n">
        <x:v>0.73</x:v>
      </x:c>
      <x:c r="Q411" s="48" t="n">
        <x:v>0.4</x:v>
      </x:c>
      <x:c r="R411" s="31" t="str">
        <x:v>ok</x:v>
      </x:c>
      <x:c r="S411" s="51" t="n">
        <x:v>0.9995349049568176</x:v>
      </x:c>
      <x:c r="T411" s="31" t="str">
        <x:v>https://mp.weixin.qq.com/s?__biz=MzUxOTMxNjk0OQ==&amp;mid=2247506194&amp;idx=1&amp;sn=ebb46f49e6a36e228c76501521d811ec&amp;chksm=f9f9eda8ce8e64be112fc408c19456c933a5bfb003929fb126baa15f1a9809ef42ffd6f071a5#rd</x:v>
      </x:c>
    </x:row>
    <x:row r="412">
      <x:c r="A412" s="36" t="d">
        <x:v>2026-02-15T00:00:00.000Z</x:v>
      </x:c>
      <x:c r="B412" s="48" t="n">
        <x:v>142.66</x:v>
      </x:c>
      <x:c r="C412" s="48" t="n">
        <x:v>35.74</x:v>
      </x:c>
      <x:c r="D412" s="48" t="n">
        <x:v>113.39</x:v>
      </x:c>
      <x:c r="E412" s="48" t="n">
        <x:v>60.39</x:v>
      </x:c>
      <x:c r="F412" s="48" t="n">
        <x:v>1000</x:v>
      </x:c>
      <x:c r="G412" s="48" t="n">
        <x:v>0</x:v>
      </x:c>
      <x:c r="H412" s="48" t="n">
        <x:v>1000</x:v>
      </x:c>
      <x:c r="I412" s="48" t="n">
        <x:v>0</x:v>
      </x:c>
      <x:c r="J412" s="48" t="n">
        <x:v>1000</x:v>
      </x:c>
      <x:c r="K412" s="48" t="n">
        <x:v>0</x:v>
      </x:c>
      <x:c r="L412" s="48" t="n">
        <x:v>1000</x:v>
      </x:c>
      <x:c r="M412" s="48" t="n">
        <x:v>0</x:v>
      </x:c>
      <x:c r="N412" s="48" t="n">
        <x:v>0.62</x:v>
      </x:c>
      <x:c r="O412" s="48" t="n">
        <x:v>0.44</x:v>
      </x:c>
      <x:c r="P412" s="48" t="n">
        <x:v>0.66</x:v>
      </x:c>
      <x:c r="Q412" s="48" t="n">
        <x:v>0.45</x:v>
      </x:c>
      <x:c r="R412" s="31" t="str">
        <x:v>ok</x:v>
      </x:c>
      <x:c r="S412" s="51" t="n">
        <x:v>0.944571852684021</x:v>
      </x:c>
      <x:c r="T412" s="31" t="str">
        <x:v>https://mp.weixin.qq.com/s?__biz=MzUxOTMxNjk0OQ==&amp;mid=2247506199&amp;idx=1&amp;sn=dd24a826740101913eb364bb8774e3cb&amp;chksm=f9f9edadce8e64bb30f2c35fef85bf2ecd217d42aaa5526f20bacdf1b49da5f6d3574aac6cef#rd</x:v>
      </x:c>
    </x:row>
    <x:row r="413">
      <x:c r="A413" s="36" t="d">
        <x:v>2026-02-16T00:00:00.000Z</x:v>
      </x:c>
      <x:c r="B413" s="48" t="n">
        <x:v>443.49</x:v>
      </x:c>
      <x:c r="C413" s="48" t="n">
        <x:v>55.2</x:v>
      </x:c>
      <x:c r="D413" s="48" t="n">
        <x:v>443.17</x:v>
      </x:c>
      <x:c r="E413" s="48" t="n">
        <x:v>87.16</x:v>
      </x:c>
      <x:c r="F413" s="48" t="n">
        <x:v>1000</x:v>
      </x:c>
      <x:c r="G413" s="48" t="n">
        <x:v>0</x:v>
      </x:c>
      <x:c r="H413" s="48" t="n">
        <x:v>1000</x:v>
      </x:c>
      <x:c r="I413" s="48" t="n">
        <x:v>0</x:v>
      </x:c>
      <x:c r="J413" s="48" t="n">
        <x:v>1000</x:v>
      </x:c>
      <x:c r="K413" s="48" t="n">
        <x:v>0</x:v>
      </x:c>
      <x:c r="L413" s="48" t="n">
        <x:v>1000</x:v>
      </x:c>
      <x:c r="M413" s="48" t="n">
        <x:v>0</x:v>
      </x:c>
      <x:c r="N413" s="48" t="n">
        <x:v>0.13</x:v>
      </x:c>
      <x:c r="O413" s="48" t="n">
        <x:v>0.55</x:v>
      </x:c>
      <x:c r="P413" s="48" t="n">
        <x:v>0.12</x:v>
      </x:c>
      <x:c r="Q413" s="48" t="n">
        <x:v>0.56</x:v>
      </x:c>
      <x:c r="R413" s="31" t="str">
        <x:v>ok</x:v>
      </x:c>
      <x:c r="S413" s="51" t="n">
        <x:v>0.9458202123641968</x:v>
      </x:c>
      <x:c r="T413" s="31" t="str">
        <x:v>https://mp.weixin.qq.com/s?__biz=MzUxOTMxNjk0OQ==&amp;mid=2247506201&amp;idx=1&amp;sn=4dd78a7d3b64429756c95ae252baf91a&amp;chksm=f9f9eda3ce8e64b59f32ba887d17c6d2a9aecce22b7f566915e5451f1a25654034c0a12bc828#rd</x:v>
      </x:c>
    </x:row>
    <x:row r="414">
      <x:c r="A414" s="36" t="d">
        <x:v>2026-02-17T00:00:00.000Z</x:v>
      </x:c>
      <x:c r="B414" s="48" t="n">
        <x:v>541.84</x:v>
      </x:c>
      <x:c r="C414" s="48" t="n">
        <x:v>24.58</x:v>
      </x:c>
      <x:c r="D414" s="48" t="n">
        <x:v>221.62</x:v>
      </x:c>
      <x:c r="E414" s="48" t="n">
        <x:v>35.99</x:v>
      </x:c>
      <x:c r="F414" s="48" t="n">
        <x:v>1000</x:v>
      </x:c>
      <x:c r="G414" s="48" t="n">
        <x:v>0</x:v>
      </x:c>
      <x:c r="H414" s="48" t="n">
        <x:v>1000</x:v>
      </x:c>
      <x:c r="I414" s="48" t="n">
        <x:v>0</x:v>
      </x:c>
      <x:c r="J414" s="48" t="n">
        <x:v>1000</x:v>
      </x:c>
      <x:c r="K414" s="48" t="n">
        <x:v>0</x:v>
      </x:c>
      <x:c r="L414" s="48" t="n">
        <x:v>1000</x:v>
      </x:c>
      <x:c r="M414" s="48" t="n">
        <x:v>0</x:v>
      </x:c>
      <x:c r="N414" s="48" t="n">
        <x:v>0.11</x:v>
      </x:c>
      <x:c r="O414" s="48" t="n">
        <x:v>0.49</x:v>
      </x:c>
      <x:c r="P414" s="48" t="n">
        <x:v>0.14</x:v>
      </x:c>
      <x:c r="Q414" s="48" t="n">
        <x:v>0.35</x:v>
      </x:c>
      <x:c r="R414" s="31" t="str">
        <x:v>ok</x:v>
      </x:c>
      <x:c r="S414" s="51" t="n">
        <x:v>0.9522662162780762</x:v>
      </x:c>
      <x:c r="T414" s="31" t="str">
        <x:v>https://mp.weixin.qq.com/s?__biz=MzUxOTMxNjk0OQ==&amp;mid=2247506203&amp;idx=1&amp;sn=88241c41ce2ab16ab75a553c43a90dfb&amp;chksm=f9f9eda1ce8e64b7903854f2a27f72005019f1f744dae0348d487e739be89fc63b322670b3d2#rd</x:v>
      </x:c>
    </x:row>
    <x:row r="415">
      <x:c r="A415" s="36" t="d">
        <x:v>2026-02-18T00:00:00.000Z</x:v>
      </x:c>
      <x:c r="B415" s="48" t="n">
        <x:v>250.06</x:v>
      </x:c>
      <x:c r="C415" s="48" t="n">
        <x:v>19.12</x:v>
      </x:c>
      <x:c r="D415" s="48" t="n">
        <x:v>151.07</x:v>
      </x:c>
      <x:c r="E415" s="48" t="n">
        <x:v>22.63</x:v>
      </x:c>
      <x:c r="F415" s="48" t="n">
        <x:v>800</x:v>
      </x:c>
      <x:c r="G415" s="48" t="n">
        <x:v>0</x:v>
      </x:c>
      <x:c r="H415" s="48" t="n">
        <x:v>800</x:v>
      </x:c>
      <x:c r="I415" s="48" t="n">
        <x:v>0</x:v>
      </x:c>
      <x:c r="J415" s="48" t="n">
        <x:v>470</x:v>
      </x:c>
      <x:c r="K415" s="48" t="n">
        <x:v>0</x:v>
      </x:c>
      <x:c r="L415" s="48" t="n">
        <x:v>470</x:v>
      </x:c>
      <x:c r="M415" s="48" t="n">
        <x:v>0</x:v>
      </x:c>
      <x:c r="N415" s="48" t="n">
        <x:v>0.28</x:v>
      </x:c>
      <x:c r="O415" s="48" t="n">
        <x:v>0.36</x:v>
      </x:c>
      <x:c r="P415" s="48" t="n">
        <x:v>0.31</x:v>
      </x:c>
      <x:c r="Q415" s="48" t="n">
        <x:v>0.35</x:v>
      </x:c>
      <x:c r="R415" s="31" t="str">
        <x:v>ok</x:v>
      </x:c>
      <x:c r="S415" s="51" t="n">
        <x:v>0.9999939799308777</x:v>
      </x:c>
      <x:c r="T415" s="31" t="str">
        <x:v>https://mp.weixin.qq.com/s?__biz=MzUxOTMxNjk0OQ==&amp;mid=2247506205&amp;idx=1&amp;sn=cae7e6822bddd816ed03ec58c4847656&amp;chksm=f9f9eda7ce8e64b1e7777b94bc4bc170a13a4a28d3f47ff12839a15863d160656dece0e405da#rd</x:v>
      </x:c>
    </x:row>
    <x:row r="416">
      <x:c r="A416" s="36" t="d">
        <x:v>2026-02-19T00:00:00.000Z</x:v>
      </x:c>
      <x:c r="B416" s="48" t="n">
        <x:v>1.95</x:v>
      </x:c>
      <x:c r="C416" s="48" t="n">
        <x:v>0</x:v>
      </x:c>
      <x:c r="D416" s="48" t="n">
        <x:v>0.01</x:v>
      </x:c>
      <x:c r="E416" s="48" t="n">
        <x:v>0</x:v>
      </x:c>
      <x:c r="F416" s="48" t="n">
        <x:v>146</x:v>
      </x:c>
      <x:c r="G416" s="48" t="n">
        <x:v>0</x:v>
      </x:c>
      <x:c r="H416" s="48" t="n">
        <x:v>146</x:v>
      </x:c>
      <x:c r="I416" s="48" t="n">
        <x:v>0</x:v>
      </x:c>
      <x:c r="J416" s="48" t="n">
        <x:v>1</x:v>
      </x:c>
      <x:c r="K416" s="48" t="n">
        <x:v>0</x:v>
      </x:c>
      <x:c r="L416" s="48" t="n">
        <x:v>1</x:v>
      </x:c>
      <x:c r="M416" s="48" t="n">
        <x:v>0</x:v>
      </x:c>
      <x:c r="N416" s="48" t="n">
        <x:v>0.73</x:v>
      </x:c>
      <x:c r="O416" s="48" t="n">
        <x:v>0.26</x:v>
      </x:c>
      <x:c r="P416" s="48" t="n">
        <x:v>0.67</x:v>
      </x:c>
      <x:c r="Q416" s="48" t="n">
        <x:v>0.23</x:v>
      </x:c>
      <x:c r="R416" s="31" t="str">
        <x:v>ok</x:v>
      </x:c>
      <x:c r="S416" s="51" t="n">
        <x:v>0.9999104738235474</x:v>
      </x:c>
      <x:c r="T416" s="31" t="str">
        <x:v>https://mp.weixin.qq.com/s?__biz=MzUxOTMxNjk0OQ==&amp;mid=2247506207&amp;idx=1&amp;sn=fd337b7fc750c788804e6d10117c74c1&amp;chksm=f9f9eda5ce8e64b32e792f12dfa7ed9965a077ac2ba2a54f3f52dd7f6adc7f6ca5cc5cc78e56#rd</x:v>
      </x:c>
    </x:row>
    <x:row r="417">
      <x:c r="A417" s="36" t="d">
        <x:v>2026-02-20T00:00:00.000Z</x:v>
      </x:c>
      <x:c r="B417" s="48" t="n">
        <x:v>0</x:v>
      </x:c>
      <x:c r="C417" s="48" t="n">
        <x:v>0</x:v>
      </x:c>
      <x:c r="D417" s="48" t="n">
        <x:v>4.76</x:v>
      </x:c>
      <x:c r="E417" s="48" t="n">
        <x:v>0</x:v>
      </x:c>
      <x:c r="F417" s="48" t="n">
        <x:v>0</x:v>
      </x:c>
      <x:c r="G417" s="48" t="n">
        <x:v>0</x:v>
      </x:c>
      <x:c r="H417" s="48" t="n">
        <x:v>0</x:v>
      </x:c>
      <x:c r="I417" s="48" t="n">
        <x:v>0</x:v>
      </x:c>
      <x:c r="J417" s="48" t="n">
        <x:v>260</x:v>
      </x:c>
      <x:c r="K417" s="48" t="n">
        <x:v>0</x:v>
      </x:c>
      <x:c r="L417" s="48" t="n">
        <x:v>260</x:v>
      </x:c>
      <x:c r="M417" s="48" t="n">
        <x:v>0</x:v>
      </x:c>
      <x:c r="N417" s="48" t="n">
        <x:v>0.72</x:v>
      </x:c>
      <x:c r="O417" s="48" t="n">
        <x:v>0.28</x:v>
      </x:c>
      <x:c r="P417" s="48" t="n">
        <x:v>0.68</x:v>
      </x:c>
      <x:c r="Q417" s="48" t="n">
        <x:v>0.23</x:v>
      </x:c>
      <x:c r="R417" s="31" t="str">
        <x:v>ok</x:v>
      </x:c>
      <x:c r="S417" s="51" t="n">
        <x:v>0.9999969005584717</x:v>
      </x:c>
      <x:c r="T417" s="31" t="str">
        <x:v>https://mp.weixin.qq.com/s?__biz=MzUxOTMxNjk0OQ==&amp;mid=2247506233&amp;idx=1&amp;sn=aeb2ed37f8dd4a32015526daf47cf000&amp;chksm=f9f9ed83ce8e64955817f17001b9913500b538042417ecd95fe90146b8a18bd7ab0bf33449f4#rd</x:v>
      </x:c>
    </x:row>
    <x:row r="418">
      <x:c r="A418" s="36" t="d">
        <x:v>2026-02-21T00:00:00.000Z</x:v>
      </x:c>
      <x:c r="B418" s="48" t="n">
        <x:v>0.01</x:v>
      </x:c>
      <x:c r="C418" s="48" t="n">
        <x:v>0</x:v>
      </x:c>
      <x:c r="D418" s="48" t="n">
        <x:v>0.03</x:v>
      </x:c>
      <x:c r="E418" s="48" t="n">
        <x:v>0</x:v>
      </x:c>
      <x:c r="F418" s="48" t="n">
        <x:v>1</x:v>
      </x:c>
      <x:c r="G418" s="48" t="n">
        <x:v>0</x:v>
      </x:c>
      <x:c r="H418" s="48" t="n">
        <x:v>1</x:v>
      </x:c>
      <x:c r="I418" s="48" t="n">
        <x:v>0</x:v>
      </x:c>
      <x:c r="J418" s="48" t="n">
        <x:v>1</x:v>
      </x:c>
      <x:c r="K418" s="48" t="n">
        <x:v>0</x:v>
      </x:c>
      <x:c r="L418" s="48" t="n">
        <x:v>1</x:v>
      </x:c>
      <x:c r="M418" s="48" t="n">
        <x:v>0</x:v>
      </x:c>
      <x:c r="N418" s="48" t="n">
        <x:v>0.86</x:v>
      </x:c>
      <x:c r="O418" s="48" t="n">
        <x:v>0.27</x:v>
      </x:c>
      <x:c r="P418" s="48" t="n">
        <x:v>0.71</x:v>
      </x:c>
      <x:c r="Q418" s="48" t="n">
        <x:v>0.23</x:v>
      </x:c>
      <x:c r="R418" s="31" t="str">
        <x:v>ok</x:v>
      </x:c>
      <x:c r="S418" s="51" t="n">
        <x:v>0.9999740123748779</x:v>
      </x:c>
      <x:c r="T418" s="31" t="str">
        <x:v>https://mp.weixin.qq.com/s?__biz=MzUxOTMxNjk0OQ==&amp;mid=2247506235&amp;idx=1&amp;sn=d9272424bede80077c6b10af340b1ac6&amp;chksm=f9f9ed81ce8e6497d76e0f673694f6ffac97a460c1d6f224a9f5f6fc937ce6b794a62e3fcf27#rd</x:v>
      </x:c>
    </x:row>
    <x:row r="419">
      <x:c r="A419" s="36" t="d">
        <x:v>2026-02-22T00:00:00.000Z</x:v>
      </x:c>
      <x:c r="B419" s="48" t="n">
        <x:v>115.08</x:v>
      </x:c>
      <x:c r="C419" s="48" t="n">
        <x:v>11.09</x:v>
      </x:c>
      <x:c r="D419" s="48" t="n">
        <x:v>72.95</x:v>
      </x:c>
      <x:c r="E419" s="48" t="n">
        <x:v>9.07</x:v>
      </x:c>
      <x:c r="F419" s="48" t="n">
        <x:v>450</x:v>
      </x:c>
      <x:c r="G419" s="48" t="n">
        <x:v>0</x:v>
      </x:c>
      <x:c r="H419" s="48" t="n">
        <x:v>450</x:v>
      </x:c>
      <x:c r="I419" s="48" t="n">
        <x:v>0</x:v>
      </x:c>
      <x:c r="J419" s="48" t="n">
        <x:v>490</x:v>
      </x:c>
      <x:c r="K419" s="48" t="n">
        <x:v>0</x:v>
      </x:c>
      <x:c r="L419" s="48" t="n">
        <x:v>490</x:v>
      </x:c>
      <x:c r="M419" s="48" t="n">
        <x:v>0</x:v>
      </x:c>
      <x:c r="N419" s="48" t="n">
        <x:v>0.5</x:v>
      </x:c>
      <x:c r="O419" s="48" t="n">
        <x:v>0.5</x:v>
      </x:c>
      <x:c r="P419" s="48" t="n">
        <x:v>0.51</x:v>
      </x:c>
      <x:c r="Q419" s="48" t="n">
        <x:v>0.44</x:v>
      </x:c>
      <x:c r="R419" s="31" t="str">
        <x:v>ok</x:v>
      </x:c>
      <x:c r="S419" s="51" t="n">
        <x:v>0.9996134638786316</x:v>
      </x:c>
      <x:c r="T419" s="31" t="str">
        <x:v>https://mp.weixin.qq.com/s?__biz=MzUxOTMxNjk0OQ==&amp;mid=2247506237&amp;idx=1&amp;sn=52660d64aa8be8aa73de6d0f2ab53fba&amp;chksm=f9f9ed87ce8e6491f337f6ff833af68fd0699235af7381bbae583ac47cff9153e5be18725851#rd</x:v>
      </x:c>
    </x:row>
    <x:row r="420">
      <x:c r="A420" s="36" t="d">
        <x:v>2026-02-23T00:00:00.000Z</x:v>
      </x:c>
      <x:c r="B420" s="48" t="n">
        <x:v>405.93</x:v>
      </x:c>
      <x:c r="C420" s="48" t="n">
        <x:v>158.29</x:v>
      </x:c>
      <x:c r="D420" s="48" t="n">
        <x:v>289.23</x:v>
      </x:c>
      <x:c r="E420" s="48" t="n">
        <x:v>161.93</x:v>
      </x:c>
      <x:c r="F420" s="48" t="n">
        <x:v>1000</x:v>
      </x:c>
      <x:c r="G420" s="48" t="n">
        <x:v>0</x:v>
      </x:c>
      <x:c r="H420" s="48" t="n">
        <x:v>1000</x:v>
      </x:c>
      <x:c r="I420" s="48" t="n">
        <x:v>0</x:v>
      </x:c>
      <x:c r="J420" s="48" t="n">
        <x:v>1000</x:v>
      </x:c>
      <x:c r="K420" s="48" t="n">
        <x:v>0</x:v>
      </x:c>
      <x:c r="L420" s="48" t="n">
        <x:v>1000</x:v>
      </x:c>
      <x:c r="M420" s="48" t="n">
        <x:v>0</x:v>
      </x:c>
      <x:c r="N420" s="48" t="n">
        <x:v>0.24</x:v>
      </x:c>
      <x:c r="O420" s="48" t="n">
        <x:v>0.47</x:v>
      </x:c>
      <x:c r="P420" s="48" t="n">
        <x:v>0.22</x:v>
      </x:c>
      <x:c r="Q420" s="48" t="n">
        <x:v>0.43</x:v>
      </x:c>
      <x:c r="R420" s="31" t="str">
        <x:v>ok</x:v>
      </x:c>
      <x:c r="S420" s="51" t="n">
        <x:v>0.9972302317619324</x:v>
      </x:c>
      <x:c r="T420" s="31" t="str">
        <x:v>https://mp.weixin.qq.com/s?__biz=MzUxOTMxNjk0OQ==&amp;mid=2247506239&amp;idx=1&amp;sn=b302c0b7b807e42d20255adb2daf438f&amp;chksm=f9f9ed85ce8e64933284577fa2268be6d16ad299c8ca1c7bf94643b70086cbe22ec706bcd21c#rd</x:v>
      </x:c>
    </x:row>
    <x:row r="421">
      <x:c r="A421" s="36" t="d">
        <x:v>2026-02-24T00:00:00.000Z</x:v>
      </x:c>
      <x:c r="B421" s="48" t="n">
        <x:v>152.81</x:v>
      </x:c>
      <x:c r="C421" s="48" t="n">
        <x:v>7.25</x:v>
      </x:c>
      <x:c r="D421" s="48" t="n">
        <x:v>169.3</x:v>
      </x:c>
      <x:c r="E421" s="48" t="n">
        <x:v>26.41</x:v>
      </x:c>
      <x:c r="F421" s="48" t="n">
        <x:v>800</x:v>
      </x:c>
      <x:c r="G421" s="48" t="n">
        <x:v>0</x:v>
      </x:c>
      <x:c r="H421" s="48" t="n">
        <x:v>800</x:v>
      </x:c>
      <x:c r="I421" s="48" t="n">
        <x:v>0</x:v>
      </x:c>
      <x:c r="J421" s="48" t="n">
        <x:v>1000</x:v>
      </x:c>
      <x:c r="K421" s="48" t="n">
        <x:v>0</x:v>
      </x:c>
      <x:c r="L421" s="48" t="n">
        <x:v>1000</x:v>
      </x:c>
      <x:c r="M421" s="48" t="n">
        <x:v>0</x:v>
      </x:c>
      <x:c r="N421" s="48" t="n">
        <x:v>0.71</x:v>
      </x:c>
      <x:c r="O421" s="48" t="n">
        <x:v>0.56</x:v>
      </x:c>
      <x:c r="P421" s="48" t="n">
        <x:v>0.62</x:v>
      </x:c>
      <x:c r="Q421" s="48" t="n">
        <x:v>0.61</x:v>
      </x:c>
      <x:c r="R421" s="31" t="str">
        <x:v>ok</x:v>
      </x:c>
      <x:c r="S421" s="51" t="n">
        <x:v>0.9999759197235107</x:v>
      </x:c>
      <x:c r="T421" s="31" t="str">
        <x:v>https://mp.weixin.qq.com/s?__biz=MzUxOTMxNjk0OQ==&amp;mid=2247506247&amp;idx=1&amp;sn=0bde1f217469f5cf8dd45503c4c1f932&amp;chksm=f9f9edfdce8e64eb3715743e5ad102968096ab69180b7bb5e8ef330b6b44b7fce50c2d3f8562#rd</x:v>
      </x:c>
    </x:row>
    <x:row r="422">
      <x:c r="A422" s="36" t="d">
        <x:v>2026-02-25T00:00:00.000Z</x:v>
      </x:c>
      <x:c r="B422" s="48" t="n">
        <x:v>124.82</x:v>
      </x:c>
      <x:c r="C422" s="48" t="n">
        <x:v>30.94</x:v>
      </x:c>
      <x:c r="D422" s="48" t="n">
        <x:v>197.4</x:v>
      </x:c>
      <x:c r="E422" s="48" t="n">
        <x:v>89.78</x:v>
      </x:c>
      <x:c r="F422" s="48" t="n">
        <x:v>600</x:v>
      </x:c>
      <x:c r="G422" s="48" t="n">
        <x:v>0</x:v>
      </x:c>
      <x:c r="H422" s="48" t="n">
        <x:v>600</x:v>
      </x:c>
      <x:c r="I422" s="48" t="n">
        <x:v>0</x:v>
      </x:c>
      <x:c r="J422" s="48" t="n">
        <x:v>1000</x:v>
      </x:c>
      <x:c r="K422" s="48" t="n">
        <x:v>0</x:v>
      </x:c>
      <x:c r="L422" s="48" t="n">
        <x:v>1000</x:v>
      </x:c>
      <x:c r="M422" s="48" t="n">
        <x:v>0</x:v>
      </x:c>
      <x:c r="N422" s="48" t="n">
        <x:v>0.87</x:v>
      </x:c>
      <x:c r="O422" s="48" t="n">
        <x:v>0.66</x:v>
      </x:c>
      <x:c r="P422" s="48" t="n">
        <x:v>0.83</x:v>
      </x:c>
      <x:c r="Q422" s="48" t="n">
        <x:v>0.56</x:v>
      </x:c>
      <x:c r="R422" s="31" t="str">
        <x:v>ok</x:v>
      </x:c>
      <x:c r="S422" s="51" t="n">
        <x:v>0.9867863655090332</x:v>
      </x:c>
      <x:c r="T422" s="31" t="str">
        <x:v>https://mp.weixin.qq.com/s?__biz=MzUxOTMxNjk0OQ==&amp;mid=2247506251&amp;idx=1&amp;sn=803e4fdb668a7dea0747ae9220ffb7fe&amp;chksm=f9f9edf1ce8e64e749f2ef370cf6efc1e030ba39134eef63ab65d0195644b9c0e0a79db6b11d#rd</x:v>
      </x:c>
    </x:row>
    <x:row r="423">
      <x:c r="A423" s="36" t="d">
        <x:v>2026-02-26T00:00:00.000Z</x:v>
      </x:c>
      <x:c r="B423" s="48" t="n">
        <x:v>310.64</x:v>
      </x:c>
      <x:c r="C423" s="48" t="n">
        <x:v>28.46</x:v>
      </x:c>
      <x:c r="D423" s="48" t="n">
        <x:v>270.25</x:v>
      </x:c>
      <x:c r="E423" s="48" t="n">
        <x:v>25.76</x:v>
      </x:c>
      <x:c r="F423" s="48" t="n">
        <x:v>1000</x:v>
      </x:c>
      <x:c r="G423" s="48" t="n">
        <x:v>0</x:v>
      </x:c>
      <x:c r="H423" s="48" t="n">
        <x:v>1000</x:v>
      </x:c>
      <x:c r="I423" s="48" t="n">
        <x:v>0</x:v>
      </x:c>
      <x:c r="J423" s="48" t="n">
        <x:v>1000</x:v>
      </x:c>
      <x:c r="K423" s="48" t="n">
        <x:v>0</x:v>
      </x:c>
      <x:c r="L423" s="48" t="n">
        <x:v>1000</x:v>
      </x:c>
      <x:c r="M423" s="48" t="n">
        <x:v>0</x:v>
      </x:c>
      <x:c r="N423" s="48" t="n">
        <x:v>0.45</x:v>
      </x:c>
      <x:c r="O423" s="48" t="n">
        <x:v>0.73</x:v>
      </x:c>
      <x:c r="P423" s="48" t="n">
        <x:v>0.5</x:v>
      </x:c>
      <x:c r="Q423" s="48" t="n">
        <x:v>0.66</x:v>
      </x:c>
      <x:c r="R423" s="31" t="str">
        <x:v>ok</x:v>
      </x:c>
      <x:c r="S423" s="51" t="n">
        <x:v>0.988326907157898</x:v>
      </x:c>
      <x:c r="T423" s="31" t="str">
        <x:v>https://mp.weixin.qq.com/s?__biz=MzUxOTMxNjk0OQ==&amp;mid=2247506266&amp;idx=1&amp;sn=64b83644238620edab5474e20e41c27f&amp;chksm=f9f9ede0ce8e64f6d54e17f7f5f68b5f197ee4ec78fc00f0c6011040c353bd09f933a866a7fa#rd</x:v>
      </x:c>
    </x:row>
    <x:row r="424">
      <x:c r="A424" s="36" t="d">
        <x:v>2026-02-27T00:00:00.000Z</x:v>
      </x:c>
      <x:c r="B424" s="48" t="n">
        <x:v>145.93</x:v>
      </x:c>
      <x:c r="C424" s="48" t="n">
        <x:v>15.62</x:v>
      </x:c>
      <x:c r="D424" s="48" t="n">
        <x:v>247.61</x:v>
      </x:c>
      <x:c r="E424" s="48" t="n">
        <x:v>86.35</x:v>
      </x:c>
      <x:c r="F424" s="48" t="n">
        <x:v>1000</x:v>
      </x:c>
      <x:c r="G424" s="48" t="n">
        <x:v>0</x:v>
      </x:c>
      <x:c r="H424" s="48" t="n">
        <x:v>1000</x:v>
      </x:c>
      <x:c r="I424" s="48" t="n">
        <x:v>0</x:v>
      </x:c>
      <x:c r="J424" s="48" t="n">
        <x:v>1000</x:v>
      </x:c>
      <x:c r="K424" s="48" t="n">
        <x:v>0</x:v>
      </x:c>
      <x:c r="L424" s="48" t="n">
        <x:v>1000</x:v>
      </x:c>
      <x:c r="M424" s="48" t="n">
        <x:v>0</x:v>
      </x:c>
      <x:c r="N424" s="48" t="n">
        <x:v>0.8</x:v>
      </x:c>
      <x:c r="O424" s="48" t="n">
        <x:v>0.57</x:v>
      </x:c>
      <x:c r="P424" s="48" t="n">
        <x:v>0.72</x:v>
      </x:c>
      <x:c r="Q424" s="48" t="n">
        <x:v>0.58</x:v>
      </x:c>
      <x:c r="R424" s="31" t="str">
        <x:v>ok</x:v>
      </x:c>
      <x:c r="S424" s="51" t="n">
        <x:v>0.9997770190238953</x:v>
      </x:c>
      <x:c r="T424" s="31" t="str">
        <x:v>https://mp.weixin.qq.com/s?__biz=MzUxOTMxNjk0OQ==&amp;mid=2247506278&amp;idx=1&amp;sn=27056c5f0f7680af087676f33d4a65f9&amp;chksm=f9f9eddcce8e64ca1cf0ef51d22883d3b36ff3efe70aa7450932c6ddeae6319943a88068fd93#rd</x:v>
      </x:c>
    </x:row>
    <x:row r="425">
      <x:c r="A425" s="36" t="d">
        <x:v>2026-02-28T00:00:00.000Z</x:v>
      </x:c>
      <x:c r="B425" s="48" t="n">
        <x:v>111.89</x:v>
      </x:c>
      <x:c r="C425" s="48" t="n">
        <x:v>267.26</x:v>
      </x:c>
      <x:c r="D425" s="48" t="n">
        <x:v>115.1</x:v>
      </x:c>
      <x:c r="E425" s="48" t="n">
        <x:v>307.61</x:v>
      </x:c>
      <x:c r="F425" s="48" t="n">
        <x:v>660</x:v>
      </x:c>
      <x:c r="G425" s="48" t="n">
        <x:v>0</x:v>
      </x:c>
      <x:c r="H425" s="48" t="n">
        <x:v>660</x:v>
      </x:c>
      <x:c r="I425" s="48" t="n">
        <x:v>0</x:v>
      </x:c>
      <x:c r="J425" s="48" t="n">
        <x:v>1000</x:v>
      </x:c>
      <x:c r="K425" s="48" t="n">
        <x:v>0</x:v>
      </x:c>
      <x:c r="L425" s="48" t="n">
        <x:v>1000</x:v>
      </x:c>
      <x:c r="M425" s="48" t="n">
        <x:v>0</x:v>
      </x:c>
      <x:c r="N425" s="48" t="n">
        <x:v>0.67</x:v>
      </x:c>
      <x:c r="O425" s="48" t="n">
        <x:v>0.2</x:v>
      </x:c>
      <x:c r="P425" s="48" t="n">
        <x:v>0.62</x:v>
      </x:c>
      <x:c r="Q425" s="48" t="n">
        <x:v>0.2</x:v>
      </x:c>
      <x:c r="R425" s="31" t="str">
        <x:v>ok</x:v>
      </x:c>
      <x:c r="S425" s="51" t="n">
        <x:v>0.9746341705322266</x:v>
      </x:c>
      <x:c r="T425" s="31" t="str">
        <x:v>https://mp.weixin.qq.com/s?__biz=MzUxOTMxNjk0OQ==&amp;mid=2247506286&amp;idx=1&amp;sn=8e34b87f0660f7044277761b57f90ef1&amp;chksm=f9f9edd4ce8e64c206581e41a9cdce04e355305956c32c20cd2895583f3e2d61bbc76ea58d9b#rd</x:v>
      </x:c>
    </x:row>
    <x:row r="426">
      <x:c r="A426" s="36" t="d">
        <x:v>2026-03-01T00:00:00.000Z</x:v>
      </x:c>
      <x:c r="B426" s="48" t="n">
        <x:v>339.81</x:v>
      </x:c>
      <x:c r="C426" s="48" t="n">
        <x:v>399.42</x:v>
      </x:c>
      <x:c r="D426" s="48" t="n">
        <x:v>374.53</x:v>
      </x:c>
      <x:c r="E426" s="48" t="n">
        <x:v>328.58</x:v>
      </x:c>
      <x:c r="F426" s="48" t="n">
        <x:v>1000</x:v>
      </x:c>
      <x:c r="G426" s="48" t="n">
        <x:v>126.32</x:v>
      </x:c>
      <x:c r="H426" s="48" t="n">
        <x:v>1000</x:v>
      </x:c>
      <x:c r="I426" s="48" t="n">
        <x:v>126.32</x:v>
      </x:c>
      <x:c r="J426" s="48" t="n">
        <x:v>1000</x:v>
      </x:c>
      <x:c r="K426" s="48" t="n">
        <x:v>164.91</x:v>
      </x:c>
      <x:c r="L426" s="48" t="n">
        <x:v>1000</x:v>
      </x:c>
      <x:c r="M426" s="48" t="n">
        <x:v>164.91</x:v>
      </x:c>
      <x:c r="N426" s="48" t="n">
        <x:v>0.24</x:v>
      </x:c>
      <x:c r="O426" s="48" t="n">
        <x:v>0.21</x:v>
      </x:c>
      <x:c r="P426" s="48" t="n">
        <x:v>0.15</x:v>
      </x:c>
      <x:c r="Q426" s="48" t="n">
        <x:v>0.21</x:v>
      </x:c>
      <x:c r="R426" s="31" t="str">
        <x:v>ok</x:v>
      </x:c>
      <x:c r="S426" s="51" t="n">
        <x:v>0.9997771978378296</x:v>
      </x:c>
      <x:c r="T426" s="31" t="str">
        <x:v>https://mp.weixin.qq.com/s?__biz=MzUxOTMxNjk0OQ==&amp;mid=2247506290&amp;idx=1&amp;sn=ce99cff89d55406ec64418725f19dcf7&amp;chksm=f9f9edc8ce8e64de1d9c49ee3fe0a46e153caf66d559270e53d6c4871123d5d6e5dc43ed0dea#rd</x:v>
      </x:c>
    </x:row>
    <x:row r="427">
      <x:c r="A427" s="36" t="d">
        <x:v>2026-03-02T00:00:00.000Z</x:v>
      </x:c>
      <x:c r="B427" s="48" t="n">
        <x:v>233.53</x:v>
      </x:c>
      <x:c r="C427" s="48" t="n">
        <x:v>108.04</x:v>
      </x:c>
      <x:c r="D427" s="48" t="n">
        <x:v>139.91</x:v>
      </x:c>
      <x:c r="E427" s="48" t="n">
        <x:v>50.03</x:v>
      </x:c>
      <x:c r="F427" s="48" t="n">
        <x:v>420</x:v>
      </x:c>
      <x:c r="G427" s="48" t="n">
        <x:v>0</x:v>
      </x:c>
      <x:c r="H427" s="48" t="n">
        <x:v>420</x:v>
      </x:c>
      <x:c r="I427" s="48" t="n">
        <x:v>0</x:v>
      </x:c>
      <x:c r="J427" s="48" t="n">
        <x:v>380</x:v>
      </x:c>
      <x:c r="K427" s="48" t="n">
        <x:v>0</x:v>
      </x:c>
      <x:c r="L427" s="48" t="n">
        <x:v>380</x:v>
      </x:c>
      <x:c r="M427" s="48" t="n">
        <x:v>0</x:v>
      </x:c>
      <x:c r="N427" s="48" t="n">
        <x:v>0.23</x:v>
      </x:c>
      <x:c r="O427" s="48" t="n">
        <x:v>0.54</x:v>
      </x:c>
      <x:c r="P427" s="48" t="n">
        <x:v>0.31</x:v>
      </x:c>
      <x:c r="Q427" s="48" t="n">
        <x:v>0.56</x:v>
      </x:c>
      <x:c r="R427" s="31" t="str">
        <x:v>ok</x:v>
      </x:c>
      <x:c r="S427" s="51" t="n">
        <x:v>0.9999822974205017</x:v>
      </x:c>
      <x:c r="T427" s="31" t="str">
        <x:v>https://mp.weixin.qq.com/s?__biz=MzUxOTMxNjk0OQ==&amp;mid=2247506295&amp;idx=1&amp;sn=2dab9dd6ad9b90a9a4598275d9ec045f&amp;chksm=f9f9edcdce8e64db8721e30ead4b0f5100e74ae0f4851807daac24e05194fad518442ea002ea#rd</x:v>
      </x:c>
    </x:row>
    <x:row r="428">
      <x:c r="A428" s="36" t="d">
        <x:v>2026-03-03T00:00:00.000Z</x:v>
      </x:c>
      <x:c r="B428" s="48" t="n">
        <x:v>225.91</x:v>
      </x:c>
      <x:c r="C428" s="48" t="n">
        <x:v>47.32</x:v>
      </x:c>
      <x:c r="D428" s="48" t="n">
        <x:v>185.71</x:v>
      </x:c>
      <x:c r="E428" s="48" t="n">
        <x:v>48.06</x:v>
      </x:c>
      <x:c r="F428" s="48" t="n">
        <x:v>1000</x:v>
      </x:c>
      <x:c r="G428" s="48" t="n">
        <x:v>0</x:v>
      </x:c>
      <x:c r="H428" s="48" t="n">
        <x:v>1000</x:v>
      </x:c>
      <x:c r="I428" s="48" t="n">
        <x:v>0</x:v>
      </x:c>
      <x:c r="J428" s="48" t="n">
        <x:v>900</x:v>
      </x:c>
      <x:c r="K428" s="48" t="n">
        <x:v>0</x:v>
      </x:c>
      <x:c r="L428" s="48" t="n">
        <x:v>900</x:v>
      </x:c>
      <x:c r="M428" s="48" t="n">
        <x:v>0</x:v>
      </x:c>
      <x:c r="N428" s="48" t="n">
        <x:v>0.38</x:v>
      </x:c>
      <x:c r="O428" s="48" t="n">
        <x:v>0.75</x:v>
      </x:c>
      <x:c r="P428" s="48" t="n">
        <x:v>0.4</x:v>
      </x:c>
      <x:c r="Q428" s="48" t="n">
        <x:v>0.73</x:v>
      </x:c>
      <x:c r="R428" s="31" t="str">
        <x:v>ok</x:v>
      </x:c>
      <x:c r="S428" s="51" t="n">
        <x:v>0.9999628663063049</x:v>
      </x:c>
      <x:c r="T428" s="31" t="str">
        <x:v>https://mp.weixin.qq.com/s?__biz=MzUxOTMxNjk0OQ==&amp;mid=2247506400&amp;idx=1&amp;sn=1481f43373ae1830bf685f9f4d2b9e4c&amp;chksm=f9f9ed5ace8e644c99bb39167c81648cb1488b1ae7b415d1427cd9c021f33cbba50ef3f51e8d#rd</x:v>
      </x:c>
    </x:row>
    <x:row r="429">
      <x:c r="A429" s="36" t="d">
        <x:v>2026-03-04T00:00:00.000Z</x:v>
      </x:c>
      <x:c r="B429" s="48" t="n">
        <x:v>154.13</x:v>
      </x:c>
      <x:c r="C429" s="48" t="n">
        <x:v>40.17</x:v>
      </x:c>
      <x:c r="D429" s="48" t="n">
        <x:v>115.11</x:v>
      </x:c>
      <x:c r="E429" s="48" t="n">
        <x:v>60.88</x:v>
      </x:c>
      <x:c r="F429" s="48" t="n">
        <x:v>413</x:v>
      </x:c>
      <x:c r="G429" s="48" t="n">
        <x:v>0</x:v>
      </x:c>
      <x:c r="H429" s="48" t="n">
        <x:v>413</x:v>
      </x:c>
      <x:c r="I429" s="48" t="n">
        <x:v>0</x:v>
      </x:c>
      <x:c r="J429" s="48" t="n">
        <x:v>650</x:v>
      </x:c>
      <x:c r="K429" s="48" t="n">
        <x:v>0</x:v>
      </x:c>
      <x:c r="L429" s="48" t="n">
        <x:v>650</x:v>
      </x:c>
      <x:c r="M429" s="48" t="n">
        <x:v>0</x:v>
      </x:c>
      <x:c r="N429" s="48" t="n">
        <x:v>0.94</x:v>
      </x:c>
      <x:c r="O429" s="48" t="n">
        <x:v>0.57</x:v>
      </x:c>
      <x:c r="P429" s="48" t="n">
        <x:v>0.85</x:v>
      </x:c>
      <x:c r="Q429" s="48" t="n">
        <x:v>0.61</x:v>
      </x:c>
      <x:c r="R429" s="31" t="str">
        <x:v>ok</x:v>
      </x:c>
      <x:c r="S429" s="51" t="n">
        <x:v>0.9999856352806091</x:v>
      </x:c>
      <x:c r="T429" s="31" t="str">
        <x:v>https://mp.weixin.qq.com/s?__biz=MzUxOTMxNjk0OQ==&amp;mid=2247506410&amp;idx=1&amp;sn=8563bee49632356d060e6859923a2bbd&amp;chksm=f9f9ed50ce8e6446669e5c8dd95da0ecc4cc1fc38608265080af0a523a1be058e18751fdd5ed#rd</x:v>
      </x:c>
    </x:row>
    <x:row r="430">
      <x:c r="A430" s="36" t="d">
        <x:v>2026-03-05T00:00:00.000Z</x:v>
      </x:c>
      <x:c r="B430" s="48" t="n">
        <x:v>298.97</x:v>
      </x:c>
      <x:c r="C430" s="48" t="n">
        <x:v>36.53</x:v>
      </x:c>
      <x:c r="D430" s="48" t="n">
        <x:v>226.76</x:v>
      </x:c>
      <x:c r="E430" s="48" t="n">
        <x:v>13.17</x:v>
      </x:c>
      <x:c r="F430" s="48" t="n">
        <x:v>1000</x:v>
      </x:c>
      <x:c r="G430" s="48" t="n">
        <x:v>0</x:v>
      </x:c>
      <x:c r="H430" s="48" t="n">
        <x:v>1000</x:v>
      </x:c>
      <x:c r="I430" s="48" t="n">
        <x:v>0</x:v>
      </x:c>
      <x:c r="J430" s="48" t="n">
        <x:v>1000</x:v>
      </x:c>
      <x:c r="K430" s="48" t="n">
        <x:v>0</x:v>
      </x:c>
      <x:c r="L430" s="48" t="n">
        <x:v>1000</x:v>
      </x:c>
      <x:c r="M430" s="48" t="n">
        <x:v>0</x:v>
      </x:c>
      <x:c r="N430" s="48" t="n">
        <x:v>0.62</x:v>
      </x:c>
      <x:c r="O430" s="48" t="n">
        <x:v>0.74</x:v>
      </x:c>
      <x:c r="P430" s="48" t="n">
        <x:v>0.63</x:v>
      </x:c>
      <x:c r="Q430" s="48" t="n">
        <x:v>0.61</x:v>
      </x:c>
      <x:c r="R430" s="31" t="str">
        <x:v>ok</x:v>
      </x:c>
      <x:c r="S430" s="51" t="n">
        <x:v>0.9999672174453735</x:v>
      </x:c>
      <x:c r="T430" s="31" t="str">
        <x:v>https://mp.weixin.qq.com/s?__biz=MzUxOTMxNjk0OQ==&amp;mid=2247506414&amp;idx=1&amp;sn=4427a212d8fcbb826095ec02d3558b72&amp;chksm=f9f9ed54ce8e6442b6f5e586639e2d261def7767bda65df180bf34360476c2f01649f82c65d4#rd</x:v>
      </x:c>
    </x:row>
    <x:row r="431">
      <x:c r="A431" s="36" t="d">
        <x:v>2026-03-06T00:00:00.000Z</x:v>
      </x:c>
      <x:c r="B431" s="48" t="n">
        <x:v>231.83</x:v>
      </x:c>
      <x:c r="C431" s="48" t="n">
        <x:v>167.64</x:v>
      </x:c>
      <x:c r="D431" s="48" t="n">
        <x:v>202.01</x:v>
      </x:c>
      <x:c r="E431" s="48" t="n">
        <x:v>123.67</x:v>
      </x:c>
      <x:c r="F431" s="48" t="n">
        <x:v>350</x:v>
      </x:c>
      <x:c r="G431" s="48" t="n">
        <x:v>0</x:v>
      </x:c>
      <x:c r="H431" s="48" t="n">
        <x:v>350</x:v>
      </x:c>
      <x:c r="I431" s="48" t="n">
        <x:v>0</x:v>
      </x:c>
      <x:c r="J431" s="48" t="n">
        <x:v>645</x:v>
      </x:c>
      <x:c r="K431" s="48" t="n">
        <x:v>0</x:v>
      </x:c>
      <x:c r="L431" s="48" t="n">
        <x:v>645</x:v>
      </x:c>
      <x:c r="M431" s="48" t="n">
        <x:v>0</x:v>
      </x:c>
      <x:c r="N431" s="48" t="n">
        <x:v>0.52</x:v>
      </x:c>
      <x:c r="O431" s="48" t="n">
        <x:v>0.46</x:v>
      </x:c>
      <x:c r="P431" s="48" t="n">
        <x:v>0.59</x:v>
      </x:c>
      <x:c r="Q431" s="48" t="n">
        <x:v>0.49</x:v>
      </x:c>
      <x:c r="R431" s="31" t="str">
        <x:v>ok</x:v>
      </x:c>
      <x:c r="S431" s="51" t="n">
        <x:v>0.9999967813491821</x:v>
      </x:c>
      <x:c r="T431" s="31" t="str">
        <x:v>https://mp.weixin.qq.com/s?__biz=MzUxOTMxNjk0OQ==&amp;mid=2247506420&amp;idx=1&amp;sn=73f1b121734b891f2d4e2f6f67af1fd6&amp;chksm=f9f9ed4ece8e6458f347a206f700e61171d7305224b099633b12915987718346e4c3d0ed51f0#rd</x:v>
      </x:c>
    </x:row>
    <x:row r="432">
      <x:c r="A432" s="36" t="d">
        <x:v>2026-03-07T00:00:00.000Z</x:v>
      </x:c>
      <x:c r="B432" s="48" t="n">
        <x:v>259.41</x:v>
      </x:c>
      <x:c r="C432" s="48" t="n">
        <x:v>235.64</x:v>
      </x:c>
      <x:c r="D432" s="48" t="n">
        <x:v>287.42</x:v>
      </x:c>
      <x:c r="E432" s="48" t="n">
        <x:v>308.26</x:v>
      </x:c>
      <x:c r="F432" s="48" t="n">
        <x:v>381</x:v>
      </x:c>
      <x:c r="G432" s="48" t="n">
        <x:v>0</x:v>
      </x:c>
      <x:c r="H432" s="48" t="n">
        <x:v>381</x:v>
      </x:c>
      <x:c r="I432" s="48" t="n">
        <x:v>0</x:v>
      </x:c>
      <x:c r="J432" s="48" t="n">
        <x:v>999</x:v>
      </x:c>
      <x:c r="K432" s="48" t="n">
        <x:v>0</x:v>
      </x:c>
      <x:c r="L432" s="48" t="n">
        <x:v>999</x:v>
      </x:c>
      <x:c r="M432" s="48" t="n">
        <x:v>0</x:v>
      </x:c>
      <x:c r="N432" s="48" t="n">
        <x:v>0.55</x:v>
      </x:c>
      <x:c r="O432" s="48" t="n">
        <x:v>0.42</x:v>
      </x:c>
      <x:c r="P432" s="48" t="n">
        <x:v>0.54</x:v>
      </x:c>
      <x:c r="Q432" s="48" t="n">
        <x:v>0.42</x:v>
      </x:c>
      <x:c r="R432" s="31" t="str">
        <x:v>ok</x:v>
      </x:c>
      <x:c r="S432" s="51" t="n">
        <x:v>0.9999315738677979</x:v>
      </x:c>
      <x:c r="T432" s="31" t="str">
        <x:v>https://mp.weixin.qq.com/s?__biz=MzUxOTMxNjk0OQ==&amp;mid=2247506422&amp;idx=1&amp;sn=98e2695aa7d1a78b7f03928e707fdb56&amp;chksm=f9f9ed4cce8e645a0704b7eac875fc295e7bc9a49e218e1d97013208b4f00ba59940fa7a03fb#rd</x:v>
      </x:c>
    </x:row>
    <x:row r="433">
      <x:c r="A433" s="36" t="d">
        <x:v>2026-03-08T00:00:00.000Z</x:v>
      </x:c>
      <x:c r="B433" s="48" t="n">
        <x:v>338.48</x:v>
      </x:c>
      <x:c r="C433" s="48" t="n">
        <x:v>242.08</x:v>
      </x:c>
      <x:c r="D433" s="48" t="n">
        <x:v>396.24</x:v>
      </x:c>
      <x:c r="E433" s="48" t="n">
        <x:v>267.5</x:v>
      </x:c>
      <x:c r="F433" s="48" t="n">
        <x:v>700</x:v>
      </x:c>
      <x:c r="G433" s="48" t="n">
        <x:v>0</x:v>
      </x:c>
      <x:c r="H433" s="48" t="n">
        <x:v>700</x:v>
      </x:c>
      <x:c r="I433" s="48" t="n">
        <x:v>0</x:v>
      </x:c>
      <x:c r="J433" s="48" t="n">
        <x:v>1000</x:v>
      </x:c>
      <x:c r="K433" s="48" t="n">
        <x:v>0</x:v>
      </x:c>
      <x:c r="L433" s="48" t="n">
        <x:v>1000</x:v>
      </x:c>
      <x:c r="M433" s="48" t="n">
        <x:v>0</x:v>
      </x:c>
      <x:c r="N433" s="48" t="n">
        <x:v>0.3</x:v>
      </x:c>
      <x:c r="O433" s="48" t="n">
        <x:v>0.57</x:v>
      </x:c>
      <x:c r="P433" s="48" t="n">
        <x:v>0.27</x:v>
      </x:c>
      <x:c r="Q433" s="48" t="n">
        <x:v>0.54</x:v>
      </x:c>
      <x:c r="R433" s="31" t="str">
        <x:v>ok</x:v>
      </x:c>
      <x:c r="S433" s="51" t="n">
        <x:v>0.8989459276199341</x:v>
      </x:c>
      <x:c r="T433" s="31" t="str">
        <x:v>https://mp.weixin.qq.com/s?__biz=MzUxOTMxNjk0OQ==&amp;mid=2247506426&amp;idx=1&amp;sn=e386e72b8a58ab4951b94cf444687887&amp;chksm=f9f9ed40ce8e645626fd94322ac10e77037d6e956ed41366d313419bed94e2869de7e71d49da#rd</x:v>
      </x:c>
    </x:row>
    <x:row r="434">
      <x:c r="A434" s="36" t="d">
        <x:v>2026-03-09T00:00:00.000Z</x:v>
      </x:c>
      <x:c r="B434" s="48" t="n">
        <x:v>149.63</x:v>
      </x:c>
      <x:c r="C434" s="48" t="n">
        <x:v>21.79</x:v>
      </x:c>
      <x:c r="D434" s="48" t="n">
        <x:v>168.09</x:v>
      </x:c>
      <x:c r="E434" s="48" t="n">
        <x:v>16.61</x:v>
      </x:c>
      <x:c r="F434" s="48" t="n">
        <x:v>1000</x:v>
      </x:c>
      <x:c r="G434" s="48" t="n">
        <x:v>0</x:v>
      </x:c>
      <x:c r="H434" s="48" t="n">
        <x:v>1000</x:v>
      </x:c>
      <x:c r="I434" s="48" t="n">
        <x:v>0</x:v>
      </x:c>
      <x:c r="J434" s="48" t="n">
        <x:v>1000</x:v>
      </x:c>
      <x:c r="K434" s="48" t="n">
        <x:v>0</x:v>
      </x:c>
      <x:c r="L434" s="48" t="n">
        <x:v>1000</x:v>
      </x:c>
      <x:c r="M434" s="48" t="n">
        <x:v>0</x:v>
      </x:c>
      <x:c r="N434" s="48" t="n">
        <x:v>0.44</x:v>
      </x:c>
      <x:c r="O434" s="48" t="n">
        <x:v>0.75</x:v>
      </x:c>
      <x:c r="P434" s="48" t="n">
        <x:v>0.41</x:v>
      </x:c>
      <x:c r="Q434" s="48" t="n">
        <x:v>0.73</x:v>
      </x:c>
      <x:c r="R434" s="31" t="str">
        <x:v>ok</x:v>
      </x:c>
      <x:c r="S434" s="51" t="n">
        <x:v>0.9413130283355713</x:v>
      </x:c>
      <x:c r="T434" s="31" t="str">
        <x:v>https://mp.weixin.qq.com/s?__biz=MzUxOTMxNjk0OQ==&amp;mid=2247506430&amp;idx=1&amp;sn=d760db42fe80713979cb31737ed4020f&amp;chksm=f9f9ed44ce8e6452d2a0f760ddf50012bd269a15c03945f810d530c51ae3d8bcbfa0fa227303#rd</x:v>
      </x:c>
    </x:row>
    <x:row r="435">
      <x:c r="A435" s="36" t="d">
        <x:v>2026-03-10T00:00:00.000Z</x:v>
      </x:c>
      <x:c r="B435" s="48" t="n">
        <x:v>203.29</x:v>
      </x:c>
      <x:c r="C435" s="48" t="n">
        <x:v>15.92</x:v>
      </x:c>
      <x:c r="D435" s="48" t="n">
        <x:v>166.57</x:v>
      </x:c>
      <x:c r="E435" s="48" t="n">
        <x:v>10.52</x:v>
      </x:c>
      <x:c r="F435" s="48" t="n">
        <x:v>900</x:v>
      </x:c>
      <x:c r="G435" s="48" t="n">
        <x:v>0</x:v>
      </x:c>
      <x:c r="H435" s="48" t="n">
        <x:v>900</x:v>
      </x:c>
      <x:c r="I435" s="48" t="n">
        <x:v>0</x:v>
      </x:c>
      <x:c r="J435" s="48" t="n">
        <x:v>650</x:v>
      </x:c>
      <x:c r="K435" s="48" t="n">
        <x:v>0</x:v>
      </x:c>
      <x:c r="L435" s="48" t="n">
        <x:v>650</x:v>
      </x:c>
      <x:c r="M435" s="48" t="n">
        <x:v>0</x:v>
      </x:c>
      <x:c r="N435" s="48" t="n">
        <x:v>0.52</x:v>
      </x:c>
      <x:c r="O435" s="48" t="n">
        <x:v>0.76</x:v>
      </x:c>
      <x:c r="P435" s="48" t="n">
        <x:v>0.63</x:v>
      </x:c>
      <x:c r="Q435" s="48" t="n">
        <x:v>0.68</x:v>
      </x:c>
      <x:c r="R435" s="31" t="str">
        <x:v>ok</x:v>
      </x:c>
      <x:c r="S435" s="51" t="n">
        <x:v>0.9988463521003723</x:v>
      </x:c>
      <x:c r="T435" s="31" t="str">
        <x:v>https://mp.weixin.qq.com/s?__biz=MzUxOTMxNjk0OQ==&amp;mid=2247506439&amp;idx=1&amp;sn=0dc1b2e043d6d1e11aa7a79d3ef984c7&amp;chksm=f9f9eebdce8e67ab1aa607cba9953ab9da67fde267c183f23717330f381c4a3490e2fb8085b0#rd</x:v>
      </x:c>
    </x:row>
    <x:row r="436">
      <x:c r="A436" s="36" t="d">
        <x:v>2026-03-11T00:00:00.000Z</x:v>
      </x:c>
      <x:c r="B436" s="48" t="n">
        <x:v>231.33</x:v>
      </x:c>
      <x:c r="C436" s="48" t="n">
        <x:v>38.55</x:v>
      </x:c>
      <x:c r="D436" s="48" t="n">
        <x:v>198.94</x:v>
      </x:c>
      <x:c r="E436" s="48" t="n">
        <x:v>12.78</x:v>
      </x:c>
      <x:c r="F436" s="48" t="n">
        <x:v>1000</x:v>
      </x:c>
      <x:c r="G436" s="48" t="n">
        <x:v>0</x:v>
      </x:c>
      <x:c r="H436" s="48" t="n">
        <x:v>1000</x:v>
      </x:c>
      <x:c r="I436" s="48" t="n">
        <x:v>0</x:v>
      </x:c>
      <x:c r="J436" s="48" t="n">
        <x:v>800</x:v>
      </x:c>
      <x:c r="K436" s="48" t="n">
        <x:v>0</x:v>
      </x:c>
      <x:c r="L436" s="48" t="n">
        <x:v>800</x:v>
      </x:c>
      <x:c r="M436" s="48" t="n">
        <x:v>0</x:v>
      </x:c>
      <x:c r="N436" s="48" t="n">
        <x:v>0.52</x:v>
      </x:c>
      <x:c r="O436" s="48" t="n">
        <x:v>0.81</x:v>
      </x:c>
      <x:c r="P436" s="48" t="n">
        <x:v>0.52</x:v>
      </x:c>
      <x:c r="Q436" s="48" t="n">
        <x:v>0.75</x:v>
      </x:c>
      <x:c r="R436" s="31" t="str">
        <x:v>ok</x:v>
      </x:c>
      <x:c r="S436" s="51" t="n">
        <x:v>0.9345855712890625</x:v>
      </x:c>
      <x:c r="T436" s="31" t="str">
        <x:v>https://mp.weixin.qq.com/s?__biz=MzUxOTMxNjk0OQ==&amp;mid=2247506460&amp;idx=1&amp;sn=78a364cc2df0f731b19eb8c978d8e32c&amp;chksm=f9f9eea6ce8e67b055a5e45126b244d8db2fed74b17ddd39e4a5fded4ece4387c7a297724398#rd</x:v>
      </x:c>
    </x:row>
    <x:row r="437">
      <x:c r="A437" s="36" t="d">
        <x:v>2026-03-12T00:00:00.000Z</x:v>
      </x:c>
      <x:c r="B437" s="48" t="n">
        <x:v>5.54</x:v>
      </x:c>
      <x:c r="C437" s="48" t="n">
        <x:v>0.01</x:v>
      </x:c>
      <x:c r="D437" s="48" t="n">
        <x:v>20.79</x:v>
      </x:c>
      <x:c r="E437" s="48" t="n">
        <x:v>3.9</x:v>
      </x:c>
      <x:c r="F437" s="48" t="n">
        <x:v>180</x:v>
      </x:c>
      <x:c r="G437" s="48" t="n">
        <x:v>0</x:v>
      </x:c>
      <x:c r="H437" s="48" t="n">
        <x:v>180</x:v>
      </x:c>
      <x:c r="I437" s="48" t="n">
        <x:v>0</x:v>
      </x:c>
      <x:c r="J437" s="48" t="n">
        <x:v>269</x:v>
      </x:c>
      <x:c r="K437" s="48" t="n">
        <x:v>0</x:v>
      </x:c>
      <x:c r="L437" s="48" t="n">
        <x:v>269</x:v>
      </x:c>
      <x:c r="M437" s="48" t="n">
        <x:v>0</x:v>
      </x:c>
      <x:c r="N437" s="48" t="n">
        <x:v>1.2</x:v>
      </x:c>
      <x:c r="O437" s="48" t="n">
        <x:v>0.61</x:v>
      </x:c>
      <x:c r="P437" s="48" t="n">
        <x:v>1.04</x:v>
      </x:c>
      <x:c r="Q437" s="48" t="n">
        <x:v>0.53</x:v>
      </x:c>
      <x:c r="R437" s="31" t="str">
        <x:v>ok</x:v>
      </x:c>
      <x:c r="S437" s="51" t="n">
        <x:v>0.9999703168869019</x:v>
      </x:c>
      <x:c r="T437" s="31" t="str">
        <x:v>https://mp.weixin.qq.com/s?__biz=MzUxOTMxNjk0OQ==&amp;mid=2247506466&amp;idx=1&amp;sn=b5508b6854d3aaa942dc041da170d066&amp;chksm=f9f9ee98ce8e678e75d82a7e3ed2bafc0728f6cc94a5fe2a12f9fe76fff905201c438da7b711#rd</x:v>
      </x:c>
    </x:row>
    <x:row r="438">
      <x:c r="A438" s="36" t="d">
        <x:v>2026-03-13T00:00:00.000Z</x:v>
      </x:c>
      <x:c r="B438" s="48" t="n">
        <x:v>176.78</x:v>
      </x:c>
      <x:c r="C438" s="48" t="n">
        <x:v>302.83</x:v>
      </x:c>
      <x:c r="D438" s="48" t="n">
        <x:v>190.44</x:v>
      </x:c>
      <x:c r="E438" s="48" t="n">
        <x:v>299.53</x:v>
      </x:c>
      <x:c r="F438" s="48" t="n">
        <x:v>425</x:v>
      </x:c>
      <x:c r="G438" s="48" t="n">
        <x:v>0</x:v>
      </x:c>
      <x:c r="H438" s="48" t="n">
        <x:v>425</x:v>
      </x:c>
      <x:c r="I438" s="48" t="n">
        <x:v>0</x:v>
      </x:c>
      <x:c r="J438" s="48" t="n">
        <x:v>520</x:v>
      </x:c>
      <x:c r="K438" s="48" t="n">
        <x:v>0</x:v>
      </x:c>
      <x:c r="L438" s="48" t="n">
        <x:v>520</x:v>
      </x:c>
      <x:c r="M438" s="48" t="n">
        <x:v>0</x:v>
      </x:c>
      <x:c r="N438" s="48" t="n">
        <x:v>0.63</x:v>
      </x:c>
      <x:c r="O438" s="48" t="n">
        <x:v>0.27</x:v>
      </x:c>
      <x:c r="P438" s="48" t="n">
        <x:v>0.56</x:v>
      </x:c>
      <x:c r="Q438" s="48" t="n">
        <x:v>0.26</x:v>
      </x:c>
      <x:c r="R438" s="31" t="str">
        <x:v>ok</x:v>
      </x:c>
      <x:c r="S438" s="51" t="n">
        <x:v>0.9999966621398926</x:v>
      </x:c>
      <x:c r="T438" s="31" t="str">
        <x:v>https://mp.weixin.qq.com/s?__biz=MzUxOTMxNjk0OQ==&amp;mid=2247506496&amp;idx=1&amp;sn=8b5df19b8a16019e36e4182a657a7156&amp;chksm=f9f9eeface8e67ec6b85f7b1deb1e7d7f0873e08a8f36774b96e7f5524c7af49df4c1b16200a#rd</x:v>
      </x:c>
    </x:row>
    <x:row r="439">
      <x:c r="A439" s="36" t="d">
        <x:v>2026-03-14T00:00:00.000Z</x:v>
      </x:c>
      <x:c r="B439" s="48" t="n">
        <x:v>121.66</x:v>
      </x:c>
      <x:c r="C439" s="48" t="n">
        <x:v>155.89</x:v>
      </x:c>
      <x:c r="D439" s="48" t="n">
        <x:v>129.93</x:v>
      </x:c>
      <x:c r="E439" s="48" t="n">
        <x:v>160.71</x:v>
      </x:c>
      <x:c r="F439" s="48" t="n">
        <x:v>700</x:v>
      </x:c>
      <x:c r="G439" s="48" t="n">
        <x:v>0</x:v>
      </x:c>
      <x:c r="H439" s="48" t="n">
        <x:v>700</x:v>
      </x:c>
      <x:c r="I439" s="48" t="n">
        <x:v>0</x:v>
      </x:c>
      <x:c r="J439" s="48" t="n">
        <x:v>1000</x:v>
      </x:c>
      <x:c r="K439" s="48" t="n">
        <x:v>0</x:v>
      </x:c>
      <x:c r="L439" s="48" t="n">
        <x:v>1000</x:v>
      </x:c>
      <x:c r="M439" s="48" t="n">
        <x:v>0</x:v>
      </x:c>
      <x:c r="N439" s="48" t="n">
        <x:v>0.66</x:v>
      </x:c>
      <x:c r="O439" s="48" t="n">
        <x:v>0.37</x:v>
      </x:c>
      <x:c r="P439" s="48" t="n">
        <x:v>0.64</x:v>
      </x:c>
      <x:c r="Q439" s="48" t="n">
        <x:v>0.38</x:v>
      </x:c>
      <x:c r="R439" s="31" t="str">
        <x:v>ok</x:v>
      </x:c>
      <x:c r="S439" s="51" t="n">
        <x:v>0.9999818801879883</x:v>
      </x:c>
      <x:c r="T439" s="31" t="str">
        <x:v>https://mp.weixin.qq.com/s?__biz=MzUxOTMxNjk0OQ==&amp;mid=2247506498&amp;idx=1&amp;sn=fe3387c384e8aaf46674841931f89f9b&amp;chksm=f9f9eef8ce8e67ee52fe7847d02158cd9a6708e8695e5b4903db88f04cacc9b7693efdc1cdf0#rd</x:v>
      </x:c>
    </x:row>
    <x:row r="440">
      <x:c r="A440" s="36" t="d">
        <x:v>2026-03-15T00:00:00.000Z</x:v>
      </x:c>
      <x:c r="B440" s="48" t="n">
        <x:v>312.94</x:v>
      </x:c>
      <x:c r="C440" s="48" t="n">
        <x:v>48.85</x:v>
      </x:c>
      <x:c r="D440" s="48" t="n">
        <x:v>261.19</x:v>
      </x:c>
      <x:c r="E440" s="48" t="n">
        <x:v>47.7</x:v>
      </x:c>
      <x:c r="F440" s="48" t="n">
        <x:v>720</x:v>
      </x:c>
      <x:c r="G440" s="48" t="n">
        <x:v>0</x:v>
      </x:c>
      <x:c r="H440" s="48" t="n">
        <x:v>720</x:v>
      </x:c>
      <x:c r="I440" s="48" t="n">
        <x:v>0</x:v>
      </x:c>
      <x:c r="J440" s="48" t="n">
        <x:v>630.42</x:v>
      </x:c>
      <x:c r="K440" s="48" t="n">
        <x:v>0</x:v>
      </x:c>
      <x:c r="L440" s="48" t="n">
        <x:v>630.42</x:v>
      </x:c>
      <x:c r="M440" s="48" t="n">
        <x:v>0</x:v>
      </x:c>
      <x:c r="N440" s="48" t="n">
        <x:v>0.12</x:v>
      </x:c>
      <x:c r="O440" s="48" t="n">
        <x:v>0.71</x:v>
      </x:c>
      <x:c r="P440" s="48" t="n">
        <x:v>0.19</x:v>
      </x:c>
      <x:c r="Q440" s="48" t="n">
        <x:v>0.73</x:v>
      </x:c>
      <x:c r="R440" s="31" t="str">
        <x:v>ok</x:v>
      </x:c>
      <x:c r="S440" s="51" t="n">
        <x:v>0.9999932050704956</x:v>
      </x:c>
      <x:c r="T440" s="31" t="str">
        <x:v>https://mp.weixin.qq.com/s?__biz=MzUxOTMxNjk0OQ==&amp;mid=2247506502&amp;idx=1&amp;sn=57e04067f0ccdc82d4935b0abf51ec68&amp;chksm=f9f9eefcce8e67ea990654884eb80a84734b0b253fc63c2a3b07533d83dff6e65e3379fc3b49#rd</x:v>
      </x:c>
    </x:row>
    <x:row r="441">
      <x:c r="A441" s="36" t="d">
        <x:v>2026-03-16T00:00:00.000Z</x:v>
      </x:c>
      <x:c r="B441" s="48" t="n">
        <x:v>243.99</x:v>
      </x:c>
      <x:c r="C441" s="48" t="n">
        <x:v>39.15</x:v>
      </x:c>
      <x:c r="D441" s="48" t="n">
        <x:v>132.55</x:v>
      </x:c>
      <x:c r="E441" s="48" t="n">
        <x:v>70.73</x:v>
      </x:c>
      <x:c r="F441" s="48" t="n">
        <x:v>1000</x:v>
      </x:c>
      <x:c r="G441" s="48" t="n">
        <x:v>0</x:v>
      </x:c>
      <x:c r="H441" s="48" t="n">
        <x:v>1000</x:v>
      </x:c>
      <x:c r="I441" s="48" t="n">
        <x:v>0</x:v>
      </x:c>
      <x:c r="J441" s="48" t="n">
        <x:v>1000</x:v>
      </x:c>
      <x:c r="K441" s="48" t="n">
        <x:v>0</x:v>
      </x:c>
      <x:c r="L441" s="48" t="n">
        <x:v>1000</x:v>
      </x:c>
      <x:c r="M441" s="48" t="n">
        <x:v>0</x:v>
      </x:c>
      <x:c r="N441" s="48" t="n">
        <x:v>0.36</x:v>
      </x:c>
      <x:c r="O441" s="48" t="n">
        <x:v>0.78</x:v>
      </x:c>
      <x:c r="P441" s="48" t="n">
        <x:v>0.37</x:v>
      </x:c>
      <x:c r="Q441" s="48" t="n">
        <x:v>0.77</x:v>
      </x:c>
      <x:c r="R441" s="31" t="str">
        <x:v>ok</x:v>
      </x:c>
      <x:c r="S441" s="51" t="n">
        <x:v>0.951267659664154</x:v>
      </x:c>
      <x:c r="T441" s="31" t="str">
        <x:v>https://mp.weixin.qq.com/s?__biz=MzUxOTMxNjk0OQ==&amp;mid=2247506513&amp;idx=1&amp;sn=f729f5b67aad383bb4d8ebf88a6fc27f&amp;chksm=f9f9eeebce8e67fda348d5ecacbbdc78dd356d694aabe41e493bc10442ab8ce1f9f1a45b06f1#rd</x:v>
      </x:c>
    </x:row>
    <x:row r="442">
      <x:c r="A442" s="36" t="d">
        <x:v>2026-03-17T00:00:00.000Z</x:v>
      </x:c>
      <x:c r="B442" s="48" t="n">
        <x:v>98.15</x:v>
      </x:c>
      <x:c r="C442" s="48" t="n">
        <x:v>163.5</x:v>
      </x:c>
      <x:c r="D442" s="48" t="n">
        <x:v>110.07</x:v>
      </x:c>
      <x:c r="E442" s="48" t="n">
        <x:v>182.3</x:v>
      </x:c>
      <x:c r="F442" s="48" t="n">
        <x:v>1000</x:v>
      </x:c>
      <x:c r="G442" s="48" t="n">
        <x:v>0</x:v>
      </x:c>
      <x:c r="H442" s="48" t="n">
        <x:v>1000</x:v>
      </x:c>
      <x:c r="I442" s="48" t="n">
        <x:v>0</x:v>
      </x:c>
      <x:c r="J442" s="48" t="n">
        <x:v>1000</x:v>
      </x:c>
      <x:c r="K442" s="48" t="n">
        <x:v>0</x:v>
      </x:c>
      <x:c r="L442" s="48" t="n">
        <x:v>1000</x:v>
      </x:c>
      <x:c r="M442" s="48" t="n">
        <x:v>0</x:v>
      </x:c>
      <x:c r="N442" s="48" t="n">
        <x:v>0.67</x:v>
      </x:c>
      <x:c r="O442" s="48" t="n">
        <x:v>0.42</x:v>
      </x:c>
      <x:c r="P442" s="48" t="n">
        <x:v>0.59</x:v>
      </x:c>
      <x:c r="Q442" s="48" t="n">
        <x:v>0.35</x:v>
      </x:c>
      <x:c r="R442" s="31" t="str">
        <x:v>ok</x:v>
      </x:c>
      <x:c r="S442" s="51" t="n">
        <x:v>0.9999687075614929</x:v>
      </x:c>
      <x:c r="T442" s="31" t="str">
        <x:v>https://mp.weixin.qq.com/s?__biz=MzUxOTMxNjk0OQ==&amp;mid=2247506526&amp;idx=1&amp;sn=ae527930e698a92b1c647c1672d2e02a&amp;chksm=f9f9eee4ce8e67f257153a063f2e03860233d8dca40b37d3da21d6b2833103c816fa0a4590d6#rd</x:v>
      </x:c>
    </x:row>
    <x:row r="443">
      <x:c r="A443" s="36" t="d">
        <x:v>2026-03-18T00:00:00.000Z</x:v>
      </x:c>
      <x:c r="B443" s="48" t="n">
        <x:v>78.86</x:v>
      </x:c>
      <x:c r="C443" s="48" t="n">
        <x:v>25.45</x:v>
      </x:c>
      <x:c r="D443" s="48" t="n">
        <x:v>42.05</x:v>
      </x:c>
      <x:c r="E443" s="48" t="n">
        <x:v>11.16</x:v>
      </x:c>
      <x:c r="F443" s="48" t="n">
        <x:v>900</x:v>
      </x:c>
      <x:c r="G443" s="48" t="n">
        <x:v>0</x:v>
      </x:c>
      <x:c r="H443" s="48" t="n">
        <x:v>900</x:v>
      </x:c>
      <x:c r="I443" s="48" t="n">
        <x:v>0</x:v>
      </x:c>
      <x:c r="J443" s="48" t="n">
        <x:v>750</x:v>
      </x:c>
      <x:c r="K443" s="48" t="n">
        <x:v>0</x:v>
      </x:c>
      <x:c r="L443" s="48" t="n">
        <x:v>750</x:v>
      </x:c>
      <x:c r="M443" s="48" t="n">
        <x:v>0</x:v>
      </x:c>
      <x:c r="N443" s="48" t="n">
        <x:v>0.38</x:v>
      </x:c>
      <x:c r="O443" s="48" t="n">
        <x:v>0.86</x:v>
      </x:c>
      <x:c r="P443" s="48" t="n">
        <x:v>0.41</x:v>
      </x:c>
      <x:c r="Q443" s="48" t="n">
        <x:v>0.78</x:v>
      </x:c>
      <x:c r="R443" s="31" t="str">
        <x:v>ok</x:v>
      </x:c>
      <x:c r="S443" s="51" t="n">
        <x:v>0.9999826550483704</x:v>
      </x:c>
      <x:c r="T443" s="31" t="str">
        <x:v>https://mp.weixin.qq.com/s?__biz=MzUxOTMxNjk0OQ==&amp;mid=2247506537&amp;idx=1&amp;sn=f54288bdb7e0928af0968851de1bb84c&amp;chksm=f9f9eed3ce8e67c5cc8fe22453df5aedacbd2b3cf4b10052b91d7302febbcd4067420b584887#rd</x:v>
      </x:c>
    </x:row>
    <x:row r="444">
      <x:c r="A444" s="36" t="d">
        <x:v>2026-03-19T00:00:00.000Z</x:v>
      </x:c>
      <x:c r="B444" s="48" t="n">
        <x:v>300.63</x:v>
      </x:c>
      <x:c r="C444" s="48" t="n">
        <x:v>62.92</x:v>
      </x:c>
      <x:c r="D444" s="48" t="n">
        <x:v>278.42</x:v>
      </x:c>
      <x:c r="E444" s="48" t="n">
        <x:v>103.76</x:v>
      </x:c>
      <x:c r="F444" s="48" t="n">
        <x:v>1000</x:v>
      </x:c>
      <x:c r="G444" s="48" t="n">
        <x:v>0</x:v>
      </x:c>
      <x:c r="H444" s="48" t="n">
        <x:v>1000</x:v>
      </x:c>
      <x:c r="I444" s="48" t="n">
        <x:v>0</x:v>
      </x:c>
      <x:c r="J444" s="48" t="n">
        <x:v>783</x:v>
      </x:c>
      <x:c r="K444" s="48" t="n">
        <x:v>0</x:v>
      </x:c>
      <x:c r="L444" s="48" t="n">
        <x:v>783</x:v>
      </x:c>
      <x:c r="M444" s="48" t="n">
        <x:v>0</x:v>
      </x:c>
      <x:c r="N444" s="48" t="n">
        <x:v>0.18</x:v>
      </x:c>
      <x:c r="O444" s="48" t="n">
        <x:v>0.77</x:v>
      </x:c>
      <x:c r="P444" s="48" t="n">
        <x:v>0.26</x:v>
      </x:c>
      <x:c r="Q444" s="48" t="n">
        <x:v>0.74</x:v>
      </x:c>
      <x:c r="R444" s="31" t="str">
        <x:v>ok</x:v>
      </x:c>
      <x:c r="S444" s="51" t="n">
        <x:v>0.9442721605300903</x:v>
      </x:c>
      <x:c r="T444" s="31" t="str">
        <x:v>https://mp.weixin.qq.com/s?__biz=MzUxOTMxNjk0OQ==&amp;mid=2247506545&amp;idx=1&amp;sn=a83f4690bdeec81700886851b2d255d4&amp;chksm=f9f9eecbce8e67dde4d2b4a8ec731b22401fee657d8c41260a4d6b0e0132a43d8551b47a9f69#rd</x:v>
      </x:c>
    </x:row>
    <x:row r="445">
      <x:c r="A445" s="36" t="d">
        <x:v>2026-03-20T00:00:00.000Z</x:v>
      </x:c>
      <x:c r="B445" s="48" t="n">
        <x:v>208.64</x:v>
      </x:c>
      <x:c r="C445" s="48" t="n">
        <x:v>8.63</x:v>
      </x:c>
      <x:c r="D445" s="48" t="n">
        <x:v>202.08</x:v>
      </x:c>
      <x:c r="E445" s="48" t="n">
        <x:v>9.57</x:v>
      </x:c>
      <x:c r="F445" s="48" t="n">
        <x:v>600</x:v>
      </x:c>
      <x:c r="G445" s="48" t="n">
        <x:v>0</x:v>
      </x:c>
      <x:c r="H445" s="48" t="n">
        <x:v>600</x:v>
      </x:c>
      <x:c r="I445" s="48" t="n">
        <x:v>0</x:v>
      </x:c>
      <x:c r="J445" s="48" t="n">
        <x:v>1000</x:v>
      </x:c>
      <x:c r="K445" s="48" t="n">
        <x:v>0</x:v>
      </x:c>
      <x:c r="L445" s="48" t="n">
        <x:v>1000</x:v>
      </x:c>
      <x:c r="M445" s="48" t="n">
        <x:v>0</x:v>
      </x:c>
      <x:c r="N445" s="48" t="n">
        <x:v>0.28</x:v>
      </x:c>
      <x:c r="O445" s="48" t="n">
        <x:v>0.83</x:v>
      </x:c>
      <x:c r="P445" s="48" t="n">
        <x:v>0.29</x:v>
      </x:c>
      <x:c r="Q445" s="48" t="n">
        <x:v>0.75</x:v>
      </x:c>
      <x:c r="R445" s="31" t="str">
        <x:v>ok</x:v>
      </x:c>
      <x:c r="S445" s="51" t="n">
        <x:v>0.9558987617492676</x:v>
      </x:c>
      <x:c r="T445" s="31" t="str">
        <x:v>https://mp.weixin.qq.com/s?__biz=MzUxOTMxNjk0OQ==&amp;mid=2247506551&amp;idx=1&amp;sn=f9e78295257474f20d5a76314a579e5d&amp;chksm=f9f9eecdce8e67db0f74494aaebcd8a8249c8b4a19e4bb8a769568476845fc4b0f90737bb272#rd</x:v>
      </x:c>
    </x:row>
    <x:row r="446">
      <x:c r="A446" s="36" t="d">
        <x:v>2026-03-21T00:00:00.000Z</x:v>
      </x:c>
      <x:c r="B446" s="48" t="n">
        <x:v>47.38</x:v>
      </x:c>
      <x:c r="C446" s="48" t="n">
        <x:v>16.68</x:v>
      </x:c>
      <x:c r="D446" s="48" t="n">
        <x:v>64.49</x:v>
      </x:c>
      <x:c r="E446" s="48" t="n">
        <x:v>90.75</x:v>
      </x:c>
      <x:c r="F446" s="48" t="n">
        <x:v>400</x:v>
      </x:c>
      <x:c r="G446" s="48" t="n">
        <x:v>0</x:v>
      </x:c>
      <x:c r="H446" s="48" t="n">
        <x:v>400</x:v>
      </x:c>
      <x:c r="I446" s="48" t="n">
        <x:v>0</x:v>
      </x:c>
      <x:c r="J446" s="48" t="n">
        <x:v>1000</x:v>
      </x:c>
      <x:c r="K446" s="48" t="n">
        <x:v>0</x:v>
      </x:c>
      <x:c r="L446" s="48" t="n">
        <x:v>1000</x:v>
      </x:c>
      <x:c r="M446" s="48" t="n">
        <x:v>0</x:v>
      </x:c>
      <x:c r="N446" s="48" t="n">
        <x:v>0.81</x:v>
      </x:c>
      <x:c r="O446" s="48" t="n">
        <x:v>0.64</x:v>
      </x:c>
      <x:c r="P446" s="48" t="n">
        <x:v>0.85</x:v>
      </x:c>
      <x:c r="Q446" s="48" t="n">
        <x:v>0.58</x:v>
      </x:c>
      <x:c r="R446" s="31" t="str">
        <x:v>ok</x:v>
      </x:c>
      <x:c r="S446" s="51" t="n">
        <x:v>0.9996681213378906</x:v>
      </x:c>
      <x:c r="T446" s="31" t="str">
        <x:v>https://mp.weixin.qq.com/s?__biz=MzUxOTMxNjk0OQ==&amp;mid=2247506553&amp;idx=1&amp;sn=d62666c7f18fa8bb38fa13576bb01212&amp;chksm=f9f9eec3ce8e67d5b7f324f9dd14247fba07a7b92172e1478e6ef2a94078303b3886e47d4f3a#rd</x:v>
      </x:c>
    </x:row>
    <x:row r="447">
      <x:c r="A447" s="36" t="d">
        <x:v>2026-03-22T00:00:00.000Z</x:v>
      </x:c>
      <x:c r="B447" s="48" t="n">
        <x:v>189.92</x:v>
      </x:c>
      <x:c r="C447" s="48" t="n">
        <x:v>40.8</x:v>
      </x:c>
      <x:c r="D447" s="48" t="n">
        <x:v>104.55</x:v>
      </x:c>
      <x:c r="E447" s="48" t="n">
        <x:v>44.46</x:v>
      </x:c>
      <x:c r="F447" s="48" t="n">
        <x:v>648</x:v>
      </x:c>
      <x:c r="G447" s="48" t="n">
        <x:v>0</x:v>
      </x:c>
      <x:c r="H447" s="48" t="n">
        <x:v>648</x:v>
      </x:c>
      <x:c r="I447" s="48" t="n">
        <x:v>0</x:v>
      </x:c>
      <x:c r="J447" s="48" t="n">
        <x:v>689</x:v>
      </x:c>
      <x:c r="K447" s="48" t="n">
        <x:v>0</x:v>
      </x:c>
      <x:c r="L447" s="48" t="n">
        <x:v>689</x:v>
      </x:c>
      <x:c r="M447" s="48" t="n">
        <x:v>0</x:v>
      </x:c>
      <x:c r="N447" s="48" t="n">
        <x:v>0.42</x:v>
      </x:c>
      <x:c r="O447" s="48" t="n">
        <x:v>0.79</x:v>
      </x:c>
      <x:c r="P447" s="48" t="n">
        <x:v>0.43</x:v>
      </x:c>
      <x:c r="Q447" s="48" t="n">
        <x:v>0.71</x:v>
      </x:c>
      <x:c r="R447" s="31" t="str">
        <x:v>ok</x:v>
      </x:c>
      <x:c r="S447" s="51" t="n">
        <x:v>0.9999011754989624</x:v>
      </x:c>
      <x:c r="T447" s="31" t="str">
        <x:v>https://mp.weixin.qq.com/s?__biz=MzUxOTMxNjk0OQ==&amp;mid=2247506557&amp;idx=1&amp;sn=4b2ba9e803342ef810e1f9936992fddc&amp;chksm=f9f9eec7ce8e67d1597b5160beaa7d29a3e5b1537c138c3c441fb81d2dbecffdf5e13581e02d#rd</x:v>
      </x:c>
    </x:row>
    <x:row r="448">
      <x:c r="A448" s="36" t="d">
        <x:v>2026-03-23T00:00:00.000Z</x:v>
      </x:c>
      <x:c r="B448" s="48" t="n">
        <x:v>165.13</x:v>
      </x:c>
      <x:c r="C448" s="48" t="n">
        <x:v>221.38</x:v>
      </x:c>
      <x:c r="D448" s="48" t="n">
        <x:v>123.97</x:v>
      </x:c>
      <x:c r="E448" s="48" t="n">
        <x:v>182.81</x:v>
      </x:c>
      <x:c r="F448" s="48" t="n">
        <x:v>1000</x:v>
      </x:c>
      <x:c r="G448" s="48" t="n">
        <x:v>0</x:v>
      </x:c>
      <x:c r="H448" s="48" t="n">
        <x:v>1000</x:v>
      </x:c>
      <x:c r="I448" s="48" t="n">
        <x:v>0</x:v>
      </x:c>
      <x:c r="J448" s="48" t="n">
        <x:v>1000</x:v>
      </x:c>
      <x:c r="K448" s="48" t="n">
        <x:v>0</x:v>
      </x:c>
      <x:c r="L448" s="48" t="n">
        <x:v>1000</x:v>
      </x:c>
      <x:c r="M448" s="48" t="n">
        <x:v>0</x:v>
      </x:c>
      <x:c r="N448" s="48" t="n">
        <x:v>0.52</x:v>
      </x:c>
      <x:c r="O448" s="48" t="n">
        <x:v>0.51</x:v>
      </x:c>
      <x:c r="P448" s="48" t="n">
        <x:v>0.54</x:v>
      </x:c>
      <x:c r="Q448" s="48" t="n">
        <x:v>0.45</x:v>
      </x:c>
      <x:c r="R448" s="31" t="str">
        <x:v>ok</x:v>
      </x:c>
      <x:c r="S448" s="51" t="n">
        <x:v>0.9903020858764648</x:v>
      </x:c>
      <x:c r="T448" s="31" t="str">
        <x:v>https://mp.weixin.qq.com/s?__biz=MzUxOTMxNjk0OQ==&amp;mid=2247506561&amp;idx=1&amp;sn=1f8ba6483951ea8900d78f2e53a350c3&amp;chksm=f9f9ee3bce8e672d17e3b01474c563a265cd57191c7b77ce0bf08c650d511042cc51477ba78b#rd</x:v>
      </x:c>
    </x:row>
    <x:row r="449">
      <x:c r="A449" s="36" t="d">
        <x:v>2026-03-24T00:00:00.000Z</x:v>
      </x:c>
      <x:c r="B449" s="48" t="n">
        <x:v>186.27</x:v>
      </x:c>
      <x:c r="C449" s="48" t="n">
        <x:v>5.62</x:v>
      </x:c>
      <x:c r="D449" s="48" t="n">
        <x:v>127.76</x:v>
      </x:c>
      <x:c r="E449" s="48" t="n">
        <x:v>12.52</x:v>
      </x:c>
      <x:c r="F449" s="48" t="n">
        <x:v>340</x:v>
      </x:c>
      <x:c r="G449" s="48" t="n">
        <x:v>0</x:v>
      </x:c>
      <x:c r="H449" s="48" t="n">
        <x:v>340</x:v>
      </x:c>
      <x:c r="I449" s="48" t="n">
        <x:v>0</x:v>
      </x:c>
      <x:c r="J449" s="48" t="n">
        <x:v>1000</x:v>
      </x:c>
      <x:c r="K449" s="48" t="n">
        <x:v>0</x:v>
      </x:c>
      <x:c r="L449" s="48" t="n">
        <x:v>1000</x:v>
      </x:c>
      <x:c r="M449" s="48" t="n">
        <x:v>0</x:v>
      </x:c>
      <x:c r="N449" s="48" t="n">
        <x:v>0.24</x:v>
      </x:c>
      <x:c r="O449" s="48" t="n">
        <x:v>0.87</x:v>
      </x:c>
      <x:c r="P449" s="48" t="n">
        <x:v>0.31</x:v>
      </x:c>
      <x:c r="Q449" s="48" t="n">
        <x:v>0.79</x:v>
      </x:c>
      <x:c r="R449" s="31" t="str">
        <x:v>ok</x:v>
      </x:c>
      <x:c r="S449" s="51" t="n">
        <x:v>0.944026529788971</x:v>
      </x:c>
      <x:c r="T449" s="31" t="str">
        <x:v>https://mp.weixin.qq.com/s?__biz=MzUxOTMxNjk0OQ==&amp;mid=2247506565&amp;idx=1&amp;sn=3164b4209d5045c0fc9f3c50db4f84cc&amp;chksm=f9f9ee3fce8e67299b767b13bbf31a01cb1c747da96aff43c907afdfa35cbb2e217367285911#rd</x:v>
      </x:c>
    </x:row>
    <x:row r="450">
      <x:c r="A450" s="36" t="d">
        <x:v>2026-03-25T00:00:00.000Z</x:v>
      </x:c>
      <x:c r="B450" s="48" t="n">
        <x:v>280.76</x:v>
      </x:c>
      <x:c r="C450" s="48" t="n">
        <x:v>100.22</x:v>
      </x:c>
      <x:c r="D450" s="48" t="n">
        <x:v>282.62</x:v>
      </x:c>
      <x:c r="E450" s="48" t="n">
        <x:v>173.38</x:v>
      </x:c>
      <x:c r="F450" s="48" t="n">
        <x:v>489</x:v>
      </x:c>
      <x:c r="G450" s="48" t="n">
        <x:v>0</x:v>
      </x:c>
      <x:c r="H450" s="48" t="n">
        <x:v>489</x:v>
      </x:c>
      <x:c r="I450" s="48" t="n">
        <x:v>0</x:v>
      </x:c>
      <x:c r="J450" s="48" t="n">
        <x:v>1000</x:v>
      </x:c>
      <x:c r="K450" s="48" t="n">
        <x:v>0</x:v>
      </x:c>
      <x:c r="L450" s="48" t="n">
        <x:v>1000</x:v>
      </x:c>
      <x:c r="M450" s="48" t="n">
        <x:v>0</x:v>
      </x:c>
      <x:c r="N450" s="48" t="n">
        <x:v>0.16</x:v>
      </x:c>
      <x:c r="O450" s="48" t="n">
        <x:v>0.7</x:v>
      </x:c>
      <x:c r="P450" s="48" t="n">
        <x:v>0.17</x:v>
      </x:c>
      <x:c r="Q450" s="48" t="n">
        <x:v>0.7</x:v>
      </x:c>
      <x:c r="R450" s="31" t="str">
        <x:v>ok</x:v>
      </x:c>
      <x:c r="S450" s="51" t="n">
        <x:v>0.9954735636711121</x:v>
      </x:c>
      <x:c r="T450" s="31" t="str">
        <x:v>https://mp.weixin.qq.com/s?__biz=MzUxOTMxNjk0OQ==&amp;mid=2247506582&amp;idx=2&amp;sn=4a148adf827897e92842165c88bf766e&amp;chksm=f9f9ee2cce8e673ad0f06aed08335c2cedc11f689085eb8f2098cc68b649f1f641cf34dd4aa4#rd</x:v>
      </x:c>
    </x:row>
    <x:row r="451">
      <x:c r="A451" s="36" t="d">
        <x:v>2026-03-26T00:00:00.000Z</x:v>
      </x:c>
      <x:c r="B451" s="48" t="n">
        <x:v>296.05</x:v>
      </x:c>
      <x:c r="C451" s="48" t="n">
        <x:v>79.31</x:v>
      </x:c>
      <x:c r="D451" s="48" t="n">
        <x:v>227.66</x:v>
      </x:c>
      <x:c r="E451" s="48" t="n">
        <x:v>153.86</x:v>
      </x:c>
      <x:c r="F451" s="48" t="n">
        <x:v>944</x:v>
      </x:c>
      <x:c r="G451" s="48" t="n">
        <x:v>0</x:v>
      </x:c>
      <x:c r="H451" s="48" t="n">
        <x:v>944</x:v>
      </x:c>
      <x:c r="I451" s="48" t="n">
        <x:v>0</x:v>
      </x:c>
      <x:c r="J451" s="48" t="n">
        <x:v>459</x:v>
      </x:c>
      <x:c r="K451" s="48" t="n">
        <x:v>0</x:v>
      </x:c>
      <x:c r="L451" s="48" t="n">
        <x:v>459</x:v>
      </x:c>
      <x:c r="M451" s="48" t="n">
        <x:v>0</x:v>
      </x:c>
      <x:c r="N451" s="48" t="n">
        <x:v>0.12</x:v>
      </x:c>
      <x:c r="O451" s="48" t="n">
        <x:v>0.72</x:v>
      </x:c>
      <x:c r="P451" s="48" t="n">
        <x:v>0.18</x:v>
      </x:c>
      <x:c r="Q451" s="48" t="n">
        <x:v>0.67</x:v>
      </x:c>
      <x:c r="R451" s="31" t="str">
        <x:v>ok</x:v>
      </x:c>
      <x:c r="S451" s="51" t="n">
        <x:v>0.9999954104423523</x:v>
      </x:c>
      <x:c r="T451" s="31" t="str">
        <x:v>https://mp.weixin.qq.com/s?__biz=MzUxOTMxNjk0OQ==&amp;mid=2247506586&amp;idx=1&amp;sn=057bf77da1e6736231ca9b79e26a69d7&amp;chksm=f9f9ee20ce8e67360180925e4ec6991b87e6a3a2792f88fdeccc1afc0a23bf649d0fc39f63dd#rd</x:v>
      </x:c>
    </x:row>
    <x:row r="452">
      <x:c r="A452" s="36" t="d">
        <x:v>2026-03-27T00:00:00.000Z</x:v>
      </x:c>
      <x:c r="B452" s="48" t="n">
        <x:v>223.17</x:v>
      </x:c>
      <x:c r="C452" s="48" t="n">
        <x:v>29.76</x:v>
      </x:c>
      <x:c r="D452" s="48" t="n">
        <x:v>238.01</x:v>
      </x:c>
      <x:c r="E452" s="48" t="n">
        <x:v>52.97</x:v>
      </x:c>
      <x:c r="F452" s="48" t="n">
        <x:v>710</x:v>
      </x:c>
      <x:c r="G452" s="48" t="n">
        <x:v>0</x:v>
      </x:c>
      <x:c r="H452" s="48" t="n">
        <x:v>710</x:v>
      </x:c>
      <x:c r="I452" s="48" t="n">
        <x:v>0</x:v>
      </x:c>
      <x:c r="J452" s="48" t="n">
        <x:v>1000</x:v>
      </x:c>
      <x:c r="K452" s="48" t="n">
        <x:v>0</x:v>
      </x:c>
      <x:c r="L452" s="48" t="n">
        <x:v>1000</x:v>
      </x:c>
      <x:c r="M452" s="48" t="n">
        <x:v>0</x:v>
      </x:c>
      <x:c r="N452" s="48" t="n">
        <x:v>0.33</x:v>
      </x:c>
      <x:c r="O452" s="48" t="n">
        <x:v>0.86</x:v>
      </x:c>
      <x:c r="P452" s="48" t="n">
        <x:v>0.3</x:v>
      </x:c>
      <x:c r="Q452" s="48" t="n">
        <x:v>0.85</x:v>
      </x:c>
      <x:c r="R452" s="31" t="str">
        <x:v>ok</x:v>
      </x:c>
      <x:c r="S452" s="51" t="n">
        <x:v>0.9999825954437256</x:v>
      </x:c>
      <x:c r="T452" s="31" t="str">
        <x:v>https://mp.weixin.qq.com/s?__biz=MzUxOTMxNjk0OQ==&amp;mid=2247506587&amp;idx=1&amp;sn=ddb09356935e7d60dce711bd9dc00f3a&amp;chksm=f9f9ee21ce8e673798a6b14d99a7035fb1f79304e697851e5b10ac7a18754c5899e706926f8a#rd</x:v>
      </x:c>
    </x:row>
    <x:row r="453">
      <x:c r="A453" s="36" t="d">
        <x:v>2026-03-28T00:00:00.000Z</x:v>
      </x:c>
      <x:c r="B453" s="48" t="n">
        <x:v>85.72</x:v>
      </x:c>
      <x:c r="C453" s="48" t="n">
        <x:v>5.55</x:v>
      </x:c>
      <x:c r="D453" s="48" t="n">
        <x:v>111.25</x:v>
      </x:c>
      <x:c r="E453" s="48" t="n">
        <x:v>25</x:v>
      </x:c>
      <x:c r="F453" s="48" t="n">
        <x:v>391</x:v>
      </x:c>
      <x:c r="G453" s="48" t="n">
        <x:v>0</x:v>
      </x:c>
      <x:c r="H453" s="48" t="n">
        <x:v>391</x:v>
      </x:c>
      <x:c r="I453" s="48" t="n">
        <x:v>0</x:v>
      </x:c>
      <x:c r="J453" s="48" t="n">
        <x:v>878</x:v>
      </x:c>
      <x:c r="K453" s="48" t="n">
        <x:v>0</x:v>
      </x:c>
      <x:c r="L453" s="48" t="n">
        <x:v>878</x:v>
      </x:c>
      <x:c r="M453" s="48" t="n">
        <x:v>0</x:v>
      </x:c>
      <x:c r="N453" s="48" t="n">
        <x:v>0.72</x:v>
      </x:c>
      <x:c r="O453" s="48" t="n">
        <x:v>0.62</x:v>
      </x:c>
      <x:c r="P453" s="48" t="n">
        <x:v>0.72</x:v>
      </x:c>
      <x:c r="Q453" s="48" t="n">
        <x:v>0.67</x:v>
      </x:c>
      <x:c r="R453" s="31" t="str">
        <x:v>ok</x:v>
      </x:c>
      <x:c r="S453" s="51" t="n">
        <x:v>0.969532310962677</x:v>
      </x:c>
      <x:c r="T453" s="31" t="str">
        <x:v>https://mp.weixin.qq.com/s?__biz=MzUxOTMxNjk0OQ==&amp;mid=2247506589&amp;idx=1&amp;sn=bda61ac5dcd9940c747113ae8dca5a7f&amp;chksm=f9f9ee27ce8e6731b31ac2f6a5ae763004bbad4089ecfb4d407701f82363a3e396c481197a23#rd</x:v>
      </x:c>
    </x:row>
    <x:row r="454">
      <x:c r="A454" s="36" t="d">
        <x:v>2026-03-29T00:00:00.000Z</x:v>
      </x:c>
      <x:c r="B454" s="48" t="n">
        <x:v>308.92</x:v>
      </x:c>
      <x:c r="C454" s="48" t="n">
        <x:v>67.66</x:v>
      </x:c>
      <x:c r="D454" s="48" t="n">
        <x:v>412.38</x:v>
      </x:c>
      <x:c r="E454" s="48" t="n">
        <x:v>168.6</x:v>
      </x:c>
      <x:c r="F454" s="48" t="n">
        <x:v>512</x:v>
      </x:c>
      <x:c r="G454" s="48" t="n">
        <x:v>0</x:v>
      </x:c>
      <x:c r="H454" s="48" t="n">
        <x:v>512</x:v>
      </x:c>
      <x:c r="I454" s="48" t="n">
        <x:v>0</x:v>
      </x:c>
      <x:c r="J454" s="48" t="n">
        <x:v>1000</x:v>
      </x:c>
      <x:c r="K454" s="48" t="n">
        <x:v>0</x:v>
      </x:c>
      <x:c r="L454" s="48" t="n">
        <x:v>1000</x:v>
      </x:c>
      <x:c r="M454" s="48" t="n">
        <x:v>0</x:v>
      </x:c>
      <x:c r="N454" s="48" t="n">
        <x:v>0.16</x:v>
      </x:c>
      <x:c r="O454" s="48" t="n">
        <x:v>0.74</x:v>
      </x:c>
      <x:c r="P454" s="48" t="n">
        <x:v>0.14</x:v>
      </x:c>
      <x:c r="Q454" s="48" t="n">
        <x:v>0.74</x:v>
      </x:c>
      <x:c r="R454" s="31" t="str">
        <x:v>ok</x:v>
      </x:c>
      <x:c r="S454" s="51" t="n">
        <x:v>0.9688102602958679</x:v>
      </x:c>
      <x:c r="T454" s="31" t="str">
        <x:v>https://mp.weixin.qq.com/s?__biz=MzUxOTMxNjk0OQ==&amp;mid=2247506593&amp;idx=1&amp;sn=64590b55d0c19e65990acf615eb10604&amp;chksm=f9f9ee1bce8e670d3965786938276b469f9dfe3ffef2cfa3a6781a98d7f1fea617366b1217aa#rd</x:v>
      </x:c>
    </x:row>
    <x:row r="455">
      <x:c r="A455" s="36" t="d">
        <x:v>2026-03-30T00:00:00.000Z</x:v>
      </x:c>
      <x:c r="B455" s="48" t="n">
        <x:v>293.4</x:v>
      </x:c>
      <x:c r="C455" s="48" t="n">
        <x:v>104.98</x:v>
      </x:c>
      <x:c r="D455" s="48" t="n">
        <x:v>251.22</x:v>
      </x:c>
      <x:c r="E455" s="48" t="n">
        <x:v>134.53</x:v>
      </x:c>
      <x:c r="F455" s="48" t="n">
        <x:v>368</x:v>
      </x:c>
      <x:c r="G455" s="48" t="n">
        <x:v>0</x:v>
      </x:c>
      <x:c r="H455" s="48" t="n">
        <x:v>368</x:v>
      </x:c>
      <x:c r="I455" s="48" t="n">
        <x:v>0</x:v>
      </x:c>
      <x:c r="J455" s="48" t="n">
        <x:v>464.49</x:v>
      </x:c>
      <x:c r="K455" s="48" t="n">
        <x:v>0</x:v>
      </x:c>
      <x:c r="L455" s="48" t="n">
        <x:v>464.49</x:v>
      </x:c>
      <x:c r="M455" s="48" t="n">
        <x:v>0</x:v>
      </x:c>
      <x:c r="N455" s="48" t="n">
        <x:v>0.22</x:v>
      </x:c>
      <x:c r="O455" s="48" t="n">
        <x:v>0.64</x:v>
      </x:c>
      <x:c r="P455" s="48" t="n">
        <x:v>0.27</x:v>
      </x:c>
      <x:c r="Q455" s="48" t="n">
        <x:v>0.7</x:v>
      </x:c>
      <x:c r="R455" s="31" t="str">
        <x:v>ok</x:v>
      </x:c>
      <x:c r="S455" s="51" t="n">
        <x:v>0.9999966621398926</x:v>
      </x:c>
      <x:c r="T455" s="31" t="str">
        <x:v>https://mp.weixin.qq.com/s?__biz=MzUxOTMxNjk0OQ==&amp;mid=2247506609&amp;idx=1&amp;sn=45535811b27dfe609547f28303173111&amp;chksm=f9f9ee0bce8e671d59608ba08ddc9fdc67ae0f2994d1ddc97fb898151d031dce54823f06c191#rd</x:v>
      </x:c>
    </x:row>
    <x:row r="456">
      <x:c r="A456" s="36" t="d">
        <x:v>2026-03-31T00:00:00.000Z</x:v>
      </x:c>
      <x:c r="B456" s="48" t="n">
        <x:v>198.51</x:v>
      </x:c>
      <x:c r="C456" s="48" t="n">
        <x:v>14.07</x:v>
      </x:c>
      <x:c r="D456" s="48" t="n">
        <x:v>176</x:v>
      </x:c>
      <x:c r="E456" s="48" t="n">
        <x:v>11.98</x:v>
      </x:c>
      <x:c r="F456" s="48" t="n">
        <x:v>420</x:v>
      </x:c>
      <x:c r="G456" s="48" t="n">
        <x:v>0</x:v>
      </x:c>
      <x:c r="H456" s="48" t="n">
        <x:v>420</x:v>
      </x:c>
      <x:c r="I456" s="48" t="n">
        <x:v>0</x:v>
      </x:c>
      <x:c r="J456" s="48" t="n">
        <x:v>379</x:v>
      </x:c>
      <x:c r="K456" s="48" t="n">
        <x:v>0</x:v>
      </x:c>
      <x:c r="L456" s="48" t="n">
        <x:v>379</x:v>
      </x:c>
      <x:c r="M456" s="48" t="n">
        <x:v>0</x:v>
      </x:c>
      <x:c r="N456" s="48" t="n">
        <x:v>0.3</x:v>
      </x:c>
      <x:c r="O456" s="48" t="n">
        <x:v>0.75</x:v>
      </x:c>
      <x:c r="P456" s="48" t="n">
        <x:v>0.32</x:v>
      </x:c>
      <x:c r="Q456" s="48" t="n">
        <x:v>0.66</x:v>
      </x:c>
      <x:c r="R456" s="31" t="str">
        <x:v>ok</x:v>
      </x:c>
      <x:c r="S456" s="51" t="n">
        <x:v>0.9999915957450867</x:v>
      </x:c>
      <x:c r="T456" s="31" t="str">
        <x:v>https://mp.weixin.qq.com/s?__biz=MzUxOTMxNjk0OQ==&amp;mid=2247506613&amp;idx=1&amp;sn=d17f598164cc427459e2f3fd5cb45dc5&amp;chksm=f9f9ee0fce8e6719db1b3cc59009cbd4576131085c983d5bd54b6c26c7a317de19d9904f78c7#rd</x:v>
      </x:c>
    </x:row>
    <x:row r="457">
      <x:c r="A457" s="36" t="d">
        <x:v>2026-04-01T00:00:00.000Z</x:v>
      </x:c>
      <x:c r="B457" s="48" t="n">
        <x:v>157.81</x:v>
      </x:c>
      <x:c r="C457" s="48" t="n">
        <x:v>5.67</x:v>
      </x:c>
      <x:c r="D457" s="48" t="n">
        <x:v>119.79</x:v>
      </x:c>
      <x:c r="E457" s="48" t="n">
        <x:v>3.34</x:v>
      </x:c>
      <x:c r="F457" s="48" t="n">
        <x:v>349</x:v>
      </x:c>
      <x:c r="G457" s="48" t="n">
        <x:v>0</x:v>
      </x:c>
      <x:c r="H457" s="48" t="n">
        <x:v>349</x:v>
      </x:c>
      <x:c r="I457" s="48" t="n">
        <x:v>0</x:v>
      </x:c>
      <x:c r="J457" s="48" t="n">
        <x:v>358</x:v>
      </x:c>
      <x:c r="K457" s="48" t="n">
        <x:v>0</x:v>
      </x:c>
      <x:c r="L457" s="48" t="n">
        <x:v>358</x:v>
      </x:c>
      <x:c r="M457" s="48" t="n">
        <x:v>0</x:v>
      </x:c>
      <x:c r="N457" s="48" t="n">
        <x:v>0.37</x:v>
      </x:c>
      <x:c r="O457" s="48" t="n">
        <x:v>0.79</x:v>
      </x:c>
      <x:c r="P457" s="48" t="n">
        <x:v>0.42</x:v>
      </x:c>
      <x:c r="Q457" s="48" t="n">
        <x:v>0.71</x:v>
      </x:c>
      <x:c r="R457" s="31" t="str">
        <x:v>ok</x:v>
      </x:c>
      <x:c r="S457" s="51" t="n">
        <x:v>0.9997318387031555</x:v>
      </x:c>
      <x:c r="T457" s="31" t="str">
        <x:v>https://mp.weixin.qq.com/s?__biz=MzUxOTMxNjk0OQ==&amp;mid=2247506618&amp;idx=1&amp;sn=62697d8671cf339f9e9edd9a6d7514b7&amp;chksm=f9f9ee00ce8e6716e904382b6d8d5628146ff978261880bd5cede4de38e4d398f72e8a5be310#rd</x:v>
      </x:c>
    </x:row>
    <x:row r="458">
      <x:c r="A458" s="36" t="d">
        <x:v>2026-04-02T00:00:00.000Z</x:v>
      </x:c>
      <x:c r="B458" s="48" t="n">
        <x:v>94.13</x:v>
      </x:c>
      <x:c r="C458" s="48" t="n">
        <x:v>15.96</x:v>
      </x:c>
      <x:c r="D458" s="48" t="n">
        <x:v>22.88</x:v>
      </x:c>
      <x:c r="E458" s="48" t="n">
        <x:v>0.62</x:v>
      </x:c>
      <x:c r="F458" s="48" t="n">
        <x:v>308</x:v>
      </x:c>
      <x:c r="G458" s="48" t="n">
        <x:v>0</x:v>
      </x:c>
      <x:c r="H458" s="48" t="n">
        <x:v>308</x:v>
      </x:c>
      <x:c r="I458" s="48" t="n">
        <x:v>0</x:v>
      </x:c>
      <x:c r="J458" s="48" t="n">
        <x:v>228</x:v>
      </x:c>
      <x:c r="K458" s="48" t="n">
        <x:v>0</x:v>
      </x:c>
      <x:c r="L458" s="48" t="n">
        <x:v>228</x:v>
      </x:c>
      <x:c r="M458" s="48" t="n">
        <x:v>0</x:v>
      </x:c>
      <x:c r="N458" s="48" t="n">
        <x:v>0.49</x:v>
      </x:c>
      <x:c r="O458" s="48" t="n">
        <x:v>0.66</x:v>
      </x:c>
      <x:c r="P458" s="48" t="n">
        <x:v>0.68</x:v>
      </x:c>
      <x:c r="Q458" s="48" t="n">
        <x:v>0.66</x:v>
      </x:c>
      <x:c r="R458" s="31" t="str">
        <x:v>ok</x:v>
      </x:c>
      <x:c r="S458" s="51" t="n">
        <x:v>0.9999102354049683</x:v>
      </x:c>
      <x:c r="T458" s="31" t="str">
        <x:v>https://mp.weixin.qq.com/s?__biz=MzUxOTMxNjk0OQ==&amp;mid=2247506626&amp;idx=1&amp;sn=3d0e9833a6f92c04638b946b9a40a456&amp;chksm=f9f9ee78ce8e676e0d4a25e6416c89606579543615cc4b138ff974d89fc093d2609cf2d26a82#rd</x:v>
      </x:c>
    </x:row>
    <x:row r="459">
      <x:c r="A459" s="36" t="d">
        <x:v>2026-04-03T00:00:00.000Z</x:v>
      </x:c>
      <x:c r="B459" s="48" t="n">
        <x:v>26.52</x:v>
      </x:c>
      <x:c r="C459" s="48" t="n">
        <x:v>0</x:v>
      </x:c>
      <x:c r="D459" s="48" t="n">
        <x:v>53.71</x:v>
      </x:c>
      <x:c r="E459" s="48" t="n">
        <x:v>0</x:v>
      </x:c>
      <x:c r="F459" s="48" t="n">
        <x:v>703</x:v>
      </x:c>
      <x:c r="G459" s="48" t="n">
        <x:v>0</x:v>
      </x:c>
      <x:c r="H459" s="48" t="n">
        <x:v>703</x:v>
      </x:c>
      <x:c r="I459" s="48" t="n">
        <x:v>0</x:v>
      </x:c>
      <x:c r="J459" s="48" t="n">
        <x:v>703</x:v>
      </x:c>
      <x:c r="K459" s="48" t="n">
        <x:v>0</x:v>
      </x:c>
      <x:c r="L459" s="48" t="n">
        <x:v>703</x:v>
      </x:c>
      <x:c r="M459" s="48" t="n">
        <x:v>0</x:v>
      </x:c>
      <x:c r="N459" s="48" t="n">
        <x:v>0.88</x:v>
      </x:c>
      <x:c r="O459" s="48" t="n">
        <x:v>0.57</x:v>
      </x:c>
      <x:c r="P459" s="48" t="n">
        <x:v>0.75</x:v>
      </x:c>
      <x:c r="Q459" s="48" t="n">
        <x:v>0.56</x:v>
      </x:c>
      <x:c r="R459" s="31" t="str">
        <x:v>ok</x:v>
      </x:c>
      <x:c r="S459" s="51" t="n">
        <x:v>0.9999951720237732</x:v>
      </x:c>
      <x:c r="T459" s="31" t="str">
        <x:v>https://mp.weixin.qq.com/s?__biz=MzUxOTMxNjk0OQ==&amp;mid=2247506652&amp;idx=1&amp;sn=b671d6156ccd835aa891c6765d9bc2e9&amp;chksm=f9f9ee66ce8e67703152d8d2d9068b83447c9d36c11c559343938cb8d6457b9a3f420fe28fcb#rd</x:v>
      </x:c>
    </x:row>
    <x:row r="460">
      <x:c r="A460" s="36" t="d">
        <x:v>2026-04-04T00:00:00.000Z</x:v>
      </x:c>
      <x:c r="B460" s="48" t="n">
        <x:v>23.82</x:v>
      </x:c>
      <x:c r="C460" s="48" t="n">
        <x:v>0</x:v>
      </x:c>
      <x:c r="D460" s="48" t="n">
        <x:v>40.53</x:v>
      </x:c>
      <x:c r="E460" s="48" t="n">
        <x:v>0</x:v>
      </x:c>
      <x:c r="F460" s="48" t="n">
        <x:v>228</x:v>
      </x:c>
      <x:c r="G460" s="48" t="n">
        <x:v>0</x:v>
      </x:c>
      <x:c r="H460" s="48" t="n">
        <x:v>228</x:v>
      </x:c>
      <x:c r="I460" s="48" t="n">
        <x:v>0</x:v>
      </x:c>
      <x:c r="J460" s="48" t="n">
        <x:v>722</x:v>
      </x:c>
      <x:c r="K460" s="48" t="n">
        <x:v>0</x:v>
      </x:c>
      <x:c r="L460" s="48" t="n">
        <x:v>722</x:v>
      </x:c>
      <x:c r="M460" s="48" t="n">
        <x:v>0</x:v>
      </x:c>
      <x:c r="N460" s="48" t="n">
        <x:v>0.67</x:v>
      </x:c>
      <x:c r="O460" s="48" t="n">
        <x:v>0.62</x:v>
      </x:c>
      <x:c r="P460" s="48" t="n">
        <x:v>0.72</x:v>
      </x:c>
      <x:c r="Q460" s="48" t="n">
        <x:v>0.7</x:v>
      </x:c>
      <x:c r="R460" s="31" t="str">
        <x:v>ok</x:v>
      </x:c>
      <x:c r="S460" s="51" t="n">
        <x:v>0.999997079372406</x:v>
      </x:c>
      <x:c r="T460" s="31" t="str">
        <x:v>https://mp.weixin.qq.com/s?__biz=MzUxOTMxNjk0OQ==&amp;mid=2247506654&amp;idx=1&amp;sn=6c6e7e20eb42fc0e589952d04d6a8994&amp;chksm=f9f9ee64ce8e6772a32c8d83c93cf63d4cc1eafe2227d9960273697a9d96130ff01e1f4a5185#rd</x:v>
      </x:c>
    </x:row>
    <x:row r="461">
      <x:c r="A461" s="36" t="d">
        <x:v>2026-04-05T00:00:00.000Z</x:v>
      </x:c>
      <x:c r="B461" s="48" t="n">
        <x:v>104.11</x:v>
      </x:c>
      <x:c r="C461" s="48" t="n">
        <x:v>0.01</x:v>
      </x:c>
      <x:c r="D461" s="48" t="n">
        <x:v>51.72</x:v>
      </x:c>
      <x:c r="E461" s="48" t="n">
        <x:v>0.07</x:v>
      </x:c>
      <x:c r="F461" s="48" t="n">
        <x:v>770</x:v>
      </x:c>
      <x:c r="G461" s="48" t="n">
        <x:v>0</x:v>
      </x:c>
      <x:c r="H461" s="48" t="n">
        <x:v>770</x:v>
      </x:c>
      <x:c r="I461" s="48" t="n">
        <x:v>0</x:v>
      </x:c>
      <x:c r="J461" s="48" t="n">
        <x:v>708</x:v>
      </x:c>
      <x:c r="K461" s="48" t="n">
        <x:v>0</x:v>
      </x:c>
      <x:c r="L461" s="48" t="n">
        <x:v>708</x:v>
      </x:c>
      <x:c r="M461" s="48" t="n">
        <x:v>0</x:v>
      </x:c>
      <x:c r="N461" s="48" t="n">
        <x:v>0.7</x:v>
      </x:c>
      <x:c r="O461" s="48" t="n">
        <x:v>0.6</x:v>
      </x:c>
      <x:c r="P461" s="48" t="n">
        <x:v>0.7</x:v>
      </x:c>
      <x:c r="Q461" s="48" t="n">
        <x:v>0.65</x:v>
      </x:c>
      <x:c r="R461" s="31" t="str">
        <x:v>ok</x:v>
      </x:c>
      <x:c r="S461" s="51" t="n">
        <x:v>0.9621425271034241</x:v>
      </x:c>
      <x:c r="T461" s="31" t="str">
        <x:v>https://mp.weixin.qq.com/s?__biz=MzUxOTMxNjk0OQ==&amp;mid=2247506656&amp;idx=1&amp;sn=f88e248bf28c4fcf477436980c0dfe38&amp;chksm=f9f9ee5ace8e674c471a71dacf4dbfc9fca3be35ab87a09a63323c7e9a70b9698116efb27c47#rd</x:v>
      </x:c>
    </x:row>
    <x:row r="462">
      <x:c r="A462" s="36" t="d">
        <x:v>2026-04-06T00:00:00.000Z</x:v>
      </x:c>
      <x:c r="B462" s="48" t="n">
        <x:v>143.73</x:v>
      </x:c>
      <x:c r="C462" s="48" t="n">
        <x:v>1.9</x:v>
      </x:c>
      <x:c r="D462" s="48" t="n">
        <x:v>148.79</x:v>
      </x:c>
      <x:c r="E462" s="48" t="n">
        <x:v>2.77</x:v>
      </x:c>
      <x:c r="F462" s="48" t="n">
        <x:v>389</x:v>
      </x:c>
      <x:c r="G462" s="48" t="n">
        <x:v>0</x:v>
      </x:c>
      <x:c r="H462" s="48" t="n">
        <x:v>389</x:v>
      </x:c>
      <x:c r="I462" s="48" t="n">
        <x:v>0</x:v>
      </x:c>
      <x:c r="J462" s="48" t="n">
        <x:v>708</x:v>
      </x:c>
      <x:c r="K462" s="48" t="n">
        <x:v>0</x:v>
      </x:c>
      <x:c r="L462" s="48" t="n">
        <x:v>708</x:v>
      </x:c>
      <x:c r="M462" s="48" t="n">
        <x:v>0</x:v>
      </x:c>
      <x:c r="N462" s="48" t="n">
        <x:v>0.28</x:v>
      </x:c>
      <x:c r="O462" s="48" t="n">
        <x:v>0.8</x:v>
      </x:c>
      <x:c r="P462" s="48" t="n">
        <x:v>0.28</x:v>
      </x:c>
      <x:c r="Q462" s="48" t="n">
        <x:v>0.87</x:v>
      </x:c>
      <x:c r="R462" s="31" t="str">
        <x:v>ok</x:v>
      </x:c>
      <x:c r="S462" s="51" t="n">
        <x:v>0.9999839067459106</x:v>
      </x:c>
      <x:c r="T462" s="31" t="str">
        <x:v>https://mp.weixin.qq.com/s?__biz=MzUxOTMxNjk0OQ==&amp;mid=2247506658&amp;idx=1&amp;sn=40029f911b4f41e04082b04e128d4d2e&amp;chksm=f9f9ee58ce8e674eb52826f368d84ad90b29f8790b444a5b586b4491838743bb8f0e3ee677de#rd</x:v>
      </x:c>
    </x:row>
    <x:row r="463">
      <x:c r="A463" s="36" t="d">
        <x:v>2026-04-07T00:00:00.000Z</x:v>
      </x:c>
      <x:c r="B463" s="48" t="n">
        <x:v>35.12</x:v>
      </x:c>
      <x:c r="C463" s="48" t="n">
        <x:v>4.26</x:v>
      </x:c>
      <x:c r="D463" s="48" t="n">
        <x:v>37.45</x:v>
      </x:c>
      <x:c r="E463" s="48" t="n">
        <x:v>2.81</x:v>
      </x:c>
      <x:c r="F463" s="48" t="n">
        <x:v>425</x:v>
      </x:c>
      <x:c r="G463" s="48" t="n">
        <x:v>0</x:v>
      </x:c>
      <x:c r="H463" s="48" t="n">
        <x:v>425</x:v>
      </x:c>
      <x:c r="I463" s="48" t="n">
        <x:v>0</x:v>
      </x:c>
      <x:c r="J463" s="48" t="n">
        <x:v>200</x:v>
      </x:c>
      <x:c r="K463" s="48" t="n">
        <x:v>0</x:v>
      </x:c>
      <x:c r="L463" s="48" t="n">
        <x:v>200</x:v>
      </x:c>
      <x:c r="M463" s="48" t="n">
        <x:v>0</x:v>
      </x:c>
      <x:c r="N463" s="48" t="n">
        <x:v>0.81</x:v>
      </x:c>
      <x:c r="O463" s="48" t="n">
        <x:v>0.7</x:v>
      </x:c>
      <x:c r="P463" s="48" t="n">
        <x:v>0.77</x:v>
      </x:c>
      <x:c r="Q463" s="48" t="n">
        <x:v>0.77</x:v>
      </x:c>
      <x:c r="R463" s="31" t="str">
        <x:v>ok</x:v>
      </x:c>
      <x:c r="S463" s="51" t="n">
        <x:v>0.9999960660934448</x:v>
      </x:c>
      <x:c r="T463" s="31" t="str">
        <x:v>https://mp.weixin.qq.com/s?__biz=MzUxOTMxNjk0OQ==&amp;mid=2247506662&amp;idx=1&amp;sn=8fc069751f73e0f4ce7dcedfcb0f19a2&amp;chksm=f9f9ee5cce8e674a6374e17242eddc69fa7c8df84152ea2afde850ecab10d1ae6237fa5944ea#rd</x:v>
      </x:c>
    </x:row>
    <x:row r="464">
      <x:c r="A464" s="36" t="d">
        <x:v>2026-04-08T00:00:00.000Z</x:v>
      </x:c>
      <x:c r="B464" s="48" t="n">
        <x:v>183.39</x:v>
      </x:c>
      <x:c r="C464" s="48" t="n">
        <x:v>311.59</x:v>
      </x:c>
      <x:c r="D464" s="48" t="n">
        <x:v>151.59</x:v>
      </x:c>
      <x:c r="E464" s="48" t="n">
        <x:v>190.51</x:v>
      </x:c>
      <x:c r="F464" s="48" t="n">
        <x:v>999</x:v>
      </x:c>
      <x:c r="G464" s="48" t="n">
        <x:v>0</x:v>
      </x:c>
      <x:c r="H464" s="48" t="n">
        <x:v>999</x:v>
      </x:c>
      <x:c r="I464" s="48" t="n">
        <x:v>0</x:v>
      </x:c>
      <x:c r="J464" s="48" t="n">
        <x:v>900</x:v>
      </x:c>
      <x:c r="K464" s="48" t="n">
        <x:v>0</x:v>
      </x:c>
      <x:c r="L464" s="48" t="n">
        <x:v>900</x:v>
      </x:c>
      <x:c r="M464" s="48" t="n">
        <x:v>0</x:v>
      </x:c>
      <x:c r="N464" s="48" t="n">
        <x:v>0.88</x:v>
      </x:c>
      <x:c r="O464" s="48" t="n">
        <x:v>0.27</x:v>
      </x:c>
      <x:c r="P464" s="48" t="n">
        <x:v>0.86</x:v>
      </x:c>
      <x:c r="Q464" s="48" t="n">
        <x:v>0.3</x:v>
      </x:c>
      <x:c r="R464" s="31" t="str">
        <x:v>ok</x:v>
      </x:c>
      <x:c r="S464" s="51" t="n">
        <x:v>0.9993260502815247</x:v>
      </x:c>
      <x:c r="T464" s="31" t="str">
        <x:v>https://mp.weixin.qq.com/s?__biz=MzUxOTMxNjk0OQ==&amp;mid=2247506666&amp;idx=1&amp;sn=3bc290d26b4a51ba6978300c3075c25a&amp;chksm=f9f9ee50ce8e6746fd965eb83b83289a1a1f526569480a9aa16ac68fcafc677937c79260c0a3#rd</x:v>
      </x:c>
    </x:row>
    <x:row r="465">
      <x:c r="A465" s="36" t="d">
        <x:v>2026-04-09T00:00:00.000Z</x:v>
      </x:c>
      <x:c r="B465" s="48" t="n">
        <x:v>248.8</x:v>
      </x:c>
      <x:c r="C465" s="48" t="n">
        <x:v>3.93</x:v>
      </x:c>
      <x:c r="D465" s="48" t="n">
        <x:v>278.06</x:v>
      </x:c>
      <x:c r="E465" s="48" t="n">
        <x:v>9.69</x:v>
      </x:c>
      <x:c r="F465" s="48" t="n">
        <x:v>1000</x:v>
      </x:c>
      <x:c r="G465" s="48" t="n">
        <x:v>0</x:v>
      </x:c>
      <x:c r="H465" s="48" t="n">
        <x:v>1000</x:v>
      </x:c>
      <x:c r="I465" s="48" t="n">
        <x:v>0</x:v>
      </x:c>
      <x:c r="J465" s="48" t="n">
        <x:v>1000</x:v>
      </x:c>
      <x:c r="K465" s="48" t="n">
        <x:v>0</x:v>
      </x:c>
      <x:c r="L465" s="48" t="n">
        <x:v>1000</x:v>
      </x:c>
      <x:c r="M465" s="48" t="n">
        <x:v>0</x:v>
      </x:c>
      <x:c r="N465" s="48" t="n">
        <x:v>0.76</x:v>
      </x:c>
      <x:c r="O465" s="48" t="n">
        <x:v>0.7</x:v>
      </x:c>
      <x:c r="P465" s="48" t="n">
        <x:v>0.66</x:v>
      </x:c>
      <x:c r="Q465" s="48" t="n">
        <x:v>0.63</x:v>
      </x:c>
      <x:c r="R465" s="31" t="str">
        <x:v>ok</x:v>
      </x:c>
      <x:c r="S465" s="51" t="n">
        <x:v>0.9751551747322083</x:v>
      </x:c>
      <x:c r="T465" s="31" t="str">
        <x:v>https://mp.weixin.qq.com/s?__biz=MzUxOTMxNjk0OQ==&amp;mid=2247506694&amp;idx=1&amp;sn=c86b99821a0485a0381ff5847a3376c9&amp;chksm=f9f9efbcce8e66aab5218671d28d1b0d9eec4a5cbf628744aef20964ba8d2ce00329076d9045#rd</x:v>
      </x:c>
    </x:row>
    <x:row r="466">
      <x:c r="A466" s="36" t="d">
        <x:v>2026-04-10T00:00:00.000Z</x:v>
      </x:c>
      <x:c r="B466" s="48" t="n">
        <x:v>283.83</x:v>
      </x:c>
      <x:c r="C466" s="48" t="n">
        <x:v>43.57</x:v>
      </x:c>
      <x:c r="D466" s="48" t="n">
        <x:v>359.22</x:v>
      </x:c>
      <x:c r="E466" s="48" t="n">
        <x:v>90.36</x:v>
      </x:c>
      <x:c r="F466" s="48" t="n">
        <x:v>901</x:v>
      </x:c>
      <x:c r="G466" s="48" t="n">
        <x:v>0</x:v>
      </x:c>
      <x:c r="H466" s="48" t="n">
        <x:v>901</x:v>
      </x:c>
      <x:c r="I466" s="48" t="n">
        <x:v>0</x:v>
      </x:c>
      <x:c r="J466" s="48" t="n">
        <x:v>943.88</x:v>
      </x:c>
      <x:c r="K466" s="48" t="n">
        <x:v>0</x:v>
      </x:c>
      <x:c r="L466" s="48" t="n">
        <x:v>943.88</x:v>
      </x:c>
      <x:c r="M466" s="48" t="n">
        <x:v>0</x:v>
      </x:c>
      <x:c r="N466" s="48" t="n">
        <x:v>0.39</x:v>
      </x:c>
      <x:c r="O466" s="48" t="n">
        <x:v>0.93</x:v>
      </x:c>
      <x:c r="P466" s="48" t="n">
        <x:v>0.29</x:v>
      </x:c>
      <x:c r="Q466" s="48" t="n">
        <x:v>0.91</x:v>
      </x:c>
      <x:c r="R466" s="31" t="str">
        <x:v>ok</x:v>
      </x:c>
      <x:c r="S466" s="51" t="n">
        <x:v>0.9998070001602173</x:v>
      </x:c>
      <x:c r="T466" s="31" t="str">
        <x:v>https://mp.weixin.qq.com/s?__biz=MzUxOTMxNjk0OQ==&amp;mid=2247506696&amp;idx=1&amp;sn=3b5b4de4775d9e41d6430809795f1cd4&amp;chksm=f9f9efb2ce8e66a4b13d31e97c075ddd088e82b07911a8104f8f1237bfa9a09bab52e117bb31#rd</x:v>
      </x:c>
    </x:row>
    <x:row r="467">
      <x:c r="A467" s="36" t="d">
        <x:v>2026-04-11T00:00:00.000Z</x:v>
      </x:c>
      <x:c r="B467" s="48" t="n">
        <x:v>156.16</x:v>
      </x:c>
      <x:c r="C467" s="48" t="n">
        <x:v>19.48</x:v>
      </x:c>
      <x:c r="D467" s="48" t="n">
        <x:v>199.14</x:v>
      </x:c>
      <x:c r="E467" s="48" t="n">
        <x:v>147.44</x:v>
      </x:c>
      <x:c r="F467" s="48" t="n">
        <x:v>512</x:v>
      </x:c>
      <x:c r="G467" s="48" t="n">
        <x:v>0</x:v>
      </x:c>
      <x:c r="H467" s="48" t="n">
        <x:v>512</x:v>
      </x:c>
      <x:c r="I467" s="48" t="n">
        <x:v>0</x:v>
      </x:c>
      <x:c r="J467" s="48" t="n">
        <x:v>1000</x:v>
      </x:c>
      <x:c r="K467" s="48" t="n">
        <x:v>0</x:v>
      </x:c>
      <x:c r="L467" s="48" t="n">
        <x:v>1000</x:v>
      </x:c>
      <x:c r="M467" s="48" t="n">
        <x:v>0</x:v>
      </x:c>
      <x:c r="N467" s="48" t="n">
        <x:v>0.78</x:v>
      </x:c>
      <x:c r="O467" s="48" t="n">
        <x:v>0.7</x:v>
      </x:c>
      <x:c r="P467" s="48" t="n">
        <x:v>0.66</x:v>
      </x:c>
      <x:c r="Q467" s="48" t="n">
        <x:v>0.72</x:v>
      </x:c>
      <x:c r="R467" s="31" t="str">
        <x:v>ok</x:v>
      </x:c>
      <x:c r="S467" s="51" t="n">
        <x:v>0.9989652633666992</x:v>
      </x:c>
      <x:c r="T467" s="31" t="str">
        <x:v>https://mp.weixin.qq.com/s?__biz=MzUxOTMxNjk0OQ==&amp;mid=2247506698&amp;idx=1&amp;sn=64cebd72bc3ec3901ca24cc52e81fc29&amp;chksm=f9f9efb0ce8e66a6de81152646794c18da99c72e67293b0c1bafa22c3773b4cab4d25c7d826f#rd</x:v>
      </x:c>
    </x:row>
    <x:row r="468">
      <x:c r="A468" s="36" t="d">
        <x:v>2026-04-12T00:00:00.000Z</x:v>
      </x:c>
      <x:c r="B468" s="48" t="n">
        <x:v>121.96</x:v>
      </x:c>
      <x:c r="C468" s="48" t="n">
        <x:v>48.04</x:v>
      </x:c>
      <x:c r="D468" s="48" t="n">
        <x:v>129.26</x:v>
      </x:c>
      <x:c r="E468" s="48" t="n">
        <x:v>102.43</x:v>
      </x:c>
      <x:c r="F468" s="48" t="n">
        <x:v>678</x:v>
      </x:c>
      <x:c r="G468" s="48" t="n">
        <x:v>0</x:v>
      </x:c>
      <x:c r="H468" s="48" t="n">
        <x:v>678</x:v>
      </x:c>
      <x:c r="I468" s="48" t="n">
        <x:v>0</x:v>
      </x:c>
      <x:c r="J468" s="48" t="n">
        <x:v>891</x:v>
      </x:c>
      <x:c r="K468" s="48" t="n">
        <x:v>0</x:v>
      </x:c>
      <x:c r="L468" s="48" t="n">
        <x:v>891</x:v>
      </x:c>
      <x:c r="M468" s="48" t="n">
        <x:v>0</x:v>
      </x:c>
      <x:c r="N468" s="48" t="n">
        <x:v>0.48</x:v>
      </x:c>
      <x:c r="O468" s="48" t="n">
        <x:v>0.79</x:v>
      </x:c>
      <x:c r="P468" s="48" t="n">
        <x:v>0.52</x:v>
      </x:c>
      <x:c r="Q468" s="48" t="n">
        <x:v>0.77</x:v>
      </x:c>
      <x:c r="R468" s="31" t="str">
        <x:v>ok</x:v>
      </x:c>
      <x:c r="S468" s="51" t="n">
        <x:v>0.999992847442627</x:v>
      </x:c>
      <x:c r="T468" s="31" t="str">
        <x:v>https://mp.weixin.qq.com/s?__biz=MzUxOTMxNjk0OQ==&amp;mid=2247506702&amp;idx=1&amp;sn=6b2b6cf7cd736231c6dbf7531d1321ca&amp;chksm=f9f9efb4ce8e66a2b76046347a69308ee69d2ce4578c556d7fcf7fadf33890491948b4070c57#rd</x:v>
      </x:c>
    </x:row>
    <x:row r="469">
      <x:c r="A469" s="36" t="d">
        <x:v>2026-04-13T00:00:00.000Z</x:v>
      </x:c>
      <x:c r="B469" s="48" t="n">
        <x:v>279.53</x:v>
      </x:c>
      <x:c r="C469" s="48" t="n">
        <x:v>177.33</x:v>
      </x:c>
      <x:c r="D469" s="48" t="n">
        <x:v>259.81</x:v>
      </x:c>
      <x:c r="E469" s="48" t="n">
        <x:v>197.18</x:v>
      </x:c>
      <x:c r="F469" s="48" t="n">
        <x:v>770</x:v>
      </x:c>
      <x:c r="G469" s="48" t="n">
        <x:v>0</x:v>
      </x:c>
      <x:c r="H469" s="48" t="n">
        <x:v>770</x:v>
      </x:c>
      <x:c r="I469" s="48" t="n">
        <x:v>0</x:v>
      </x:c>
      <x:c r="J469" s="48" t="n">
        <x:v>901</x:v>
      </x:c>
      <x:c r="K469" s="48" t="n">
        <x:v>0</x:v>
      </x:c>
      <x:c r="L469" s="48" t="n">
        <x:v>901</x:v>
      </x:c>
      <x:c r="M469" s="48" t="n">
        <x:v>0</x:v>
      </x:c>
      <x:c r="N469" s="48" t="n">
        <x:v>0.37</x:v>
      </x:c>
      <x:c r="O469" s="48" t="n">
        <x:v>0.58</x:v>
      </x:c>
      <x:c r="P469" s="48" t="n">
        <x:v>0.37</x:v>
      </x:c>
      <x:c r="Q469" s="48" t="n">
        <x:v>0.59</x:v>
      </x:c>
      <x:c r="R469" s="31" t="str">
        <x:v>ok</x:v>
      </x:c>
      <x:c r="S469" s="51" t="n">
        <x:v>0.9999926686286926</x:v>
      </x:c>
      <x:c r="T469" s="31" t="str">
        <x:v>https://mp.weixin.qq.com/s?__biz=MzUxOTMxNjk0OQ==&amp;mid=2247506706&amp;idx=1&amp;sn=3460cd7ef05729ae350456a8e8d0b14c&amp;chksm=f9f9efa8ce8e66be1b3df37a327723cbde1f08eb8c8d6359fcae3a05f6508d91a559066e1639#rd</x:v>
      </x:c>
    </x:row>
    <x:row r="470">
      <x:c r="A470" s="36" t="d">
        <x:v>2026-04-14T00:00:00.000Z</x:v>
      </x:c>
      <x:c r="B470" s="48" t="n">
        <x:v>262.96</x:v>
      </x:c>
      <x:c r="C470" s="48" t="n">
        <x:v>35.9</x:v>
      </x:c>
      <x:c r="D470" s="48" t="n">
        <x:v>255.16</x:v>
      </x:c>
      <x:c r="E470" s="48" t="n">
        <x:v>128.88</x:v>
      </x:c>
      <x:c r="F470" s="48" t="n">
        <x:v>845</x:v>
      </x:c>
      <x:c r="G470" s="48" t="n">
        <x:v>0</x:v>
      </x:c>
      <x:c r="H470" s="48" t="n">
        <x:v>845</x:v>
      </x:c>
      <x:c r="I470" s="48" t="n">
        <x:v>0</x:v>
      </x:c>
      <x:c r="J470" s="48" t="n">
        <x:v>842</x:v>
      </x:c>
      <x:c r="K470" s="48" t="n">
        <x:v>0</x:v>
      </x:c>
      <x:c r="L470" s="48" t="n">
        <x:v>842</x:v>
      </x:c>
      <x:c r="M470" s="48" t="n">
        <x:v>0</x:v>
      </x:c>
      <x:c r="N470" s="48" t="n">
        <x:v>0.33</x:v>
      </x:c>
      <x:c r="O470" s="48" t="n">
        <x:v>0.87</x:v>
      </x:c>
      <x:c r="P470" s="48" t="n">
        <x:v>0.32</x:v>
      </x:c>
      <x:c r="Q470" s="48" t="n">
        <x:v>0.84</x:v>
      </x:c>
      <x:c r="R470" s="31" t="str">
        <x:v>ok</x:v>
      </x:c>
      <x:c r="S470" s="51" t="n">
        <x:v>0.9999876022338867</x:v>
      </x:c>
      <x:c r="T470" s="31" t="str">
        <x:v>https://mp.weixin.qq.com/s?__biz=MzUxOTMxNjk0OQ==&amp;mid=2247506722&amp;idx=1&amp;sn=a661c431f9a7071aa234542f994e0854&amp;chksm=f9f9ef98ce8e668e51bf18c132e1775b74a7a90923a211e8d8936017e37c2886b99ac1971771#rd</x:v>
      </x:c>
    </x:row>
    <x:row r="471">
      <x:c r="A471" s="36" t="d">
        <x:v>2026-04-15T00:00:00.000Z</x:v>
      </x:c>
      <x:c r="B471" s="48" t="n">
        <x:v>228.13</x:v>
      </x:c>
      <x:c r="C471" s="48" t="n">
        <x:v>47.29</x:v>
      </x:c>
      <x:c r="D471" s="48" t="n">
        <x:v>155.24</x:v>
      </x:c>
      <x:c r="E471" s="48" t="n">
        <x:v>44.22</x:v>
      </x:c>
      <x:c r="F471" s="48" t="n">
        <x:v>999</x:v>
      </x:c>
      <x:c r="G471" s="48" t="n">
        <x:v>0</x:v>
      </x:c>
      <x:c r="H471" s="48" t="n">
        <x:v>999</x:v>
      </x:c>
      <x:c r="I471" s="48" t="n">
        <x:v>0</x:v>
      </x:c>
      <x:c r="J471" s="48" t="n">
        <x:v>796</x:v>
      </x:c>
      <x:c r="K471" s="48" t="n">
        <x:v>0</x:v>
      </x:c>
      <x:c r="L471" s="48" t="n">
        <x:v>796</x:v>
      </x:c>
      <x:c r="M471" s="48" t="n">
        <x:v>0</x:v>
      </x:c>
      <x:c r="N471" s="48" t="n">
        <x:v>0.67</x:v>
      </x:c>
      <x:c r="O471" s="48" t="n">
        <x:v>0.64</x:v>
      </x:c>
      <x:c r="P471" s="48" t="n">
        <x:v>0.82</x:v>
      </x:c>
      <x:c r="Q471" s="48" t="n">
        <x:v>0.66</x:v>
      </x:c>
      <x:c r="R471" s="31" t="str">
        <x:v>ok</x:v>
      </x:c>
      <x:c r="S471" s="51" t="n">
        <x:v>0.9720870852470398</x:v>
      </x:c>
      <x:c r="T471" s="31" t="str">
        <x:v>https://mp.weixin.qq.com/s?__biz=MzUxOTMxNjk0OQ==&amp;mid=2247506727&amp;idx=1&amp;sn=67fd7c91a22fe69891abb1e8db04ee0c&amp;chksm=f9f9ef9dce8e668b18c6b111bdcf96dc198552cc22c85f560daf836489097802b0a35a348f49#rd</x:v>
      </x:c>
    </x:row>
    <x:row r="472">
      <x:c r="A472" s="36" t="d">
        <x:v>2026-04-16T00:00:00.000Z</x:v>
      </x:c>
      <x:c r="B472" s="48" t="n">
        <x:v>145.14</x:v>
      </x:c>
      <x:c r="C472" s="48" t="n">
        <x:v>3.68</x:v>
      </x:c>
      <x:c r="D472" s="48" t="n">
        <x:v>131.61</x:v>
      </x:c>
      <x:c r="E472" s="48" t="n">
        <x:v>2.26</x:v>
      </x:c>
      <x:c r="F472" s="48" t="n">
        <x:v>634</x:v>
      </x:c>
      <x:c r="G472" s="48" t="n">
        <x:v>0</x:v>
      </x:c>
      <x:c r="H472" s="48" t="n">
        <x:v>634</x:v>
      </x:c>
      <x:c r="I472" s="48" t="n">
        <x:v>0</x:v>
      </x:c>
      <x:c r="J472" s="48" t="n">
        <x:v>520</x:v>
      </x:c>
      <x:c r="K472" s="48" t="n">
        <x:v>0</x:v>
      </x:c>
      <x:c r="L472" s="48" t="n">
        <x:v>520</x:v>
      </x:c>
      <x:c r="M472" s="48" t="n">
        <x:v>0</x:v>
      </x:c>
      <x:c r="N472" s="48" t="n">
        <x:v>0.67</x:v>
      </x:c>
      <x:c r="O472" s="48" t="n">
        <x:v>0.72</x:v>
      </x:c>
      <x:c r="P472" s="48" t="n">
        <x:v>0.63</x:v>
      </x:c>
      <x:c r="Q472" s="48" t="n">
        <x:v>0.64</x:v>
      </x:c>
      <x:c r="R472" s="31" t="str">
        <x:v>ok</x:v>
      </x:c>
      <x:c r="S472" s="51" t="n">
        <x:v>0.9945448637008667</x:v>
      </x:c>
      <x:c r="T472" s="31" t="str">
        <x:v>https://mp.weixin.qq.com/s?__biz=MzUxOTMxNjk0OQ==&amp;mid=2247506732&amp;idx=1&amp;sn=92718b237c41ac90ef510da68a9cb980&amp;chksm=f9f9ef96ce8e6680caf32a56fa9b34e3acc1913de5e150bc6d27a97cae1c8b6199b16b59a304#rd</x:v>
      </x:c>
    </x:row>
    <x:row r="473">
      <x:c r="A473" s="36" t="d">
        <x:v>2026-04-17T00:00:00.000Z</x:v>
      </x:c>
      <x:c r="B473" s="48" t="n">
        <x:v>130.47</x:v>
      </x:c>
      <x:c r="C473" s="48" t="n">
        <x:v>9.8</x:v>
      </x:c>
      <x:c r="D473" s="48" t="n">
        <x:v>95.91</x:v>
      </x:c>
      <x:c r="E473" s="48" t="n">
        <x:v>9.44</x:v>
      </x:c>
      <x:c r="F473" s="48" t="n">
        <x:v>897</x:v>
      </x:c>
      <x:c r="G473" s="48" t="n">
        <x:v>0</x:v>
      </x:c>
      <x:c r="H473" s="48" t="n">
        <x:v>897</x:v>
      </x:c>
      <x:c r="I473" s="48" t="n">
        <x:v>0</x:v>
      </x:c>
      <x:c r="J473" s="48" t="n">
        <x:v>1000</x:v>
      </x:c>
      <x:c r="K473" s="48" t="n">
        <x:v>0</x:v>
      </x:c>
      <x:c r="L473" s="48" t="n">
        <x:v>1000</x:v>
      </x:c>
      <x:c r="M473" s="48" t="n">
        <x:v>0</x:v>
      </x:c>
      <x:c r="N473" s="48" t="n">
        <x:v>0.65</x:v>
      </x:c>
      <x:c r="O473" s="48" t="n">
        <x:v>0.88</x:v>
      </x:c>
      <x:c r="P473" s="48" t="n">
        <x:v>0.64</x:v>
      </x:c>
      <x:c r="Q473" s="48" t="n">
        <x:v>0.81</x:v>
      </x:c>
      <x:c r="R473" s="31" t="str">
        <x:v>ok</x:v>
      </x:c>
      <x:c r="S473" s="51" t="n">
        <x:v>0.9999713897705078</x:v>
      </x:c>
      <x:c r="T473" s="31" t="str">
        <x:v>https://mp.weixin.qq.com/s?__biz=MzUxOTMxNjk0OQ==&amp;mid=2247506744&amp;idx=1&amp;sn=70ae3ca428747c65a441635d86e53602&amp;chksm=f9f9ef82ce8e6694fa348ed7901102b0e333e259a8f0d70f08b10d992cf190bd72d12d545ba2#rd</x:v>
      </x:c>
    </x:row>
    <x:row r="474">
      <x:c r="A474" s="36" t="d">
        <x:v>2026-04-18T00:00:00.000Z</x:v>
      </x:c>
      <x:c r="B474" s="48" t="n">
        <x:v>44.57</x:v>
      </x:c>
      <x:c r="C474" s="48" t="n">
        <x:v>0.9</x:v>
      </x:c>
      <x:c r="D474" s="48" t="n">
        <x:v>41.1</x:v>
      </x:c>
      <x:c r="E474" s="48" t="n">
        <x:v>0.6</x:v>
      </x:c>
      <x:c r="F474" s="48" t="n">
        <x:v>896</x:v>
      </x:c>
      <x:c r="G474" s="48" t="n">
        <x:v>0</x:v>
      </x:c>
      <x:c r="H474" s="48" t="n">
        <x:v>896</x:v>
      </x:c>
      <x:c r="I474" s="48" t="n">
        <x:v>0</x:v>
      </x:c>
      <x:c r="J474" s="48" t="n">
        <x:v>896</x:v>
      </x:c>
      <x:c r="K474" s="48" t="n">
        <x:v>0</x:v>
      </x:c>
      <x:c r="L474" s="48" t="n">
        <x:v>896</x:v>
      </x:c>
      <x:c r="M474" s="48" t="n">
        <x:v>0</x:v>
      </x:c>
      <x:c r="N474" s="48" t="n">
        <x:v>1.08</x:v>
      </x:c>
      <x:c r="O474" s="48" t="n">
        <x:v>0.73</x:v>
      </x:c>
      <x:c r="P474" s="48" t="n">
        <x:v>0.97</x:v>
      </x:c>
      <x:c r="Q474" s="48" t="n">
        <x:v>0.66</x:v>
      </x:c>
      <x:c r="R474" s="31" t="str">
        <x:v>ok</x:v>
      </x:c>
      <x:c r="S474" s="51" t="n">
        <x:v>0.9247470498085022</x:v>
      </x:c>
      <x:c r="T474" s="31" t="str">
        <x:v>https://mp.weixin.qq.com/s?__biz=MzUxOTMxNjk0OQ==&amp;mid=2247506755&amp;idx=1&amp;sn=e1f553e70e11d200235d2189821417d6&amp;chksm=f9f9eff9ce8e66ef922a8a4ca9c7ec2cc61b8f4aedacbdc8db303af7f1dbb29ba8b18249b8cb#rd</x:v>
      </x:c>
    </x:row>
    <x:row r="475">
      <x:c r="A475" s="36" t="d">
        <x:v>2026-04-19T00:00:00.000Z</x:v>
      </x:c>
      <x:c r="B475" s="48" t="n">
        <x:v>68.34</x:v>
      </x:c>
      <x:c r="C475" s="48" t="n">
        <x:v>0.8</x:v>
      </x:c>
      <x:c r="D475" s="48" t="n">
        <x:v>163.51</x:v>
      </x:c>
      <x:c r="E475" s="48" t="n">
        <x:v>229.43</x:v>
      </x:c>
      <x:c r="F475" s="48" t="n">
        <x:v>1000</x:v>
      </x:c>
      <x:c r="G475" s="48" t="n">
        <x:v>0</x:v>
      </x:c>
      <x:c r="H475" s="48" t="n">
        <x:v>1000</x:v>
      </x:c>
      <x:c r="I475" s="48" t="n">
        <x:v>0</x:v>
      </x:c>
      <x:c r="J475" s="48" t="n">
        <x:v>1000</x:v>
      </x:c>
      <x:c r="K475" s="48" t="n">
        <x:v>0</x:v>
      </x:c>
      <x:c r="L475" s="48" t="n">
        <x:v>1000</x:v>
      </x:c>
      <x:c r="M475" s="48" t="n">
        <x:v>0</x:v>
      </x:c>
      <x:c r="N475" s="48" t="n">
        <x:v>1.11</x:v>
      </x:c>
      <x:c r="O475" s="48" t="n">
        <x:v>0.52</x:v>
      </x:c>
      <x:c r="P475" s="48" t="n">
        <x:v>1.07</x:v>
      </x:c>
      <x:c r="Q475" s="48" t="n">
        <x:v>0.43</x:v>
      </x:c>
      <x:c r="R475" s="31" t="str">
        <x:v>ok</x:v>
      </x:c>
      <x:c r="S475" s="51" t="n">
        <x:v>0.9416645765304565</x:v>
      </x:c>
      <x:c r="T475" s="31" t="str">
        <x:v>https://mp.weixin.qq.com/s?__biz=MzUxOTMxNjk0OQ==&amp;mid=2247506759&amp;idx=1&amp;sn=11b4f75fb6a023035bb7684c78390adc&amp;chksm=f9f9effdce8e66ebbec41035e059683c129ad1ed7304a58da95c7ed4b91bdd9b79f667dd5305#rd</x:v>
      </x:c>
    </x:row>
    <x:row r="476">
      <x:c r="A476" s="36" t="d">
        <x:v>2026-04-20T00:00:00.000Z</x:v>
      </x:c>
      <x:c r="B476" s="48" t="n">
        <x:v>177.88</x:v>
      </x:c>
      <x:c r="C476" s="48" t="n">
        <x:v>17.97</x:v>
      </x:c>
      <x:c r="D476" s="48" t="n">
        <x:v>170.88</x:v>
      </x:c>
      <x:c r="E476" s="48" t="n">
        <x:v>83.49</x:v>
      </x:c>
      <x:c r="F476" s="48" t="n">
        <x:v>350</x:v>
      </x:c>
      <x:c r="G476" s="48" t="n">
        <x:v>0</x:v>
      </x:c>
      <x:c r="H476" s="48" t="n">
        <x:v>350</x:v>
      </x:c>
      <x:c r="I476" s="48" t="n">
        <x:v>0</x:v>
      </x:c>
      <x:c r="J476" s="48" t="n">
        <x:v>898</x:v>
      </x:c>
      <x:c r="K476" s="48" t="n">
        <x:v>0</x:v>
      </x:c>
      <x:c r="L476" s="48" t="n">
        <x:v>1000</x:v>
      </x:c>
      <x:c r="M476" s="48" t="n">
        <x:v>0</x:v>
      </x:c>
      <x:c r="N476" s="48" t="n">
        <x:v>0.39</x:v>
      </x:c>
      <x:c r="O476" s="48" t="n">
        <x:v>0.9</x:v>
      </x:c>
      <x:c r="P476" s="48" t="n">
        <x:v>0.35</x:v>
      </x:c>
      <x:c r="Q476" s="48" t="n">
        <x:v>0.92</x:v>
      </x:c>
      <x:c r="R476" s="31" t="str">
        <x:v>ok</x:v>
      </x:c>
      <x:c r="S476" s="51" t="n">
        <x:v>0.9945243000984192</x:v>
      </x:c>
      <x:c r="T476" s="31" t="str">
        <x:v>https://mp.weixin.qq.com/s?__biz=MzUxOTMxNjk0OQ==&amp;mid=2247506765&amp;idx=1&amp;sn=247af70fe0e8a17a638aa5425c8eb473&amp;chksm=f9f9eff7ce8e66e1b6846a4d0d554d9429b14b232aa05bba7ada61d671aacfe9d8b8293b2ee9#rd</x:v>
      </x:c>
    </x:row>
    <x:row r="477">
      <x:c r="A477" s="36" t="d">
        <x:v>2026-04-21T00:00:00.000Z</x:v>
      </x:c>
      <x:c r="B477" s="48" t="n">
        <x:v>322.32</x:v>
      </x:c>
      <x:c r="C477" s="48" t="n">
        <x:v>107.18</x:v>
      </x:c>
      <x:c r="D477" s="48" t="n">
        <x:v>273.03</x:v>
      </x:c>
      <x:c r="E477" s="48" t="n">
        <x:v>57.18</x:v>
      </x:c>
      <x:c r="F477" s="48" t="n">
        <x:v>665</x:v>
      </x:c>
      <x:c r="G477" s="48" t="n">
        <x:v>0</x:v>
      </x:c>
      <x:c r="H477" s="48" t="n">
        <x:v>665</x:v>
      </x:c>
      <x:c r="I477" s="48" t="n">
        <x:v>0</x:v>
      </x:c>
      <x:c r="J477" s="48" t="n">
        <x:v>1000</x:v>
      </x:c>
      <x:c r="K477" s="48" t="n">
        <x:v>0</x:v>
      </x:c>
      <x:c r="L477" s="48" t="n">
        <x:v>1000</x:v>
      </x:c>
      <x:c r="M477" s="48" t="n">
        <x:v>0</x:v>
      </x:c>
      <x:c r="N477" s="48" t="n">
        <x:v>0.27</x:v>
      </x:c>
      <x:c r="O477" s="48" t="n">
        <x:v>0.47</x:v>
      </x:c>
      <x:c r="P477" s="48" t="n">
        <x:v>0.31</x:v>
      </x:c>
      <x:c r="Q477" s="48" t="n">
        <x:v>0.49</x:v>
      </x:c>
      <x:c r="R477" s="31" t="str">
        <x:v>ok</x:v>
      </x:c>
      <x:c r="S477" s="51" t="n">
        <x:v>0.975398063659668</x:v>
      </x:c>
      <x:c r="T477" s="31" t="str">
        <x:v>https://mp.weixin.qq.com/s?__biz=MzUxOTMxNjk0OQ==&amp;mid=2247506770&amp;idx=1&amp;sn=bb3c4b76544c6e81e7d795a0159ee469&amp;chksm=f9f9efe8ce8e66fe2610eac786393e85e7856b313e4d9a4c79463a7b42821ab79312721ce883#rd</x:v>
      </x:c>
    </x:row>
    <x:row r="478">
      <x:c r="A478" s="36" t="d">
        <x:v>2026-04-22T00:00:00.000Z</x:v>
      </x:c>
      <x:c r="B478" s="48" t="n">
        <x:v>234.07</x:v>
      </x:c>
      <x:c r="C478" s="48" t="n">
        <x:v>41.38</x:v>
      </x:c>
      <x:c r="D478" s="48" t="n">
        <x:v>198.21</x:v>
      </x:c>
      <x:c r="E478" s="48" t="n">
        <x:v>25.46</x:v>
      </x:c>
      <x:c r="F478" s="48" t="n">
        <x:v>700</x:v>
      </x:c>
      <x:c r="G478" s="48" t="n">
        <x:v>0</x:v>
      </x:c>
      <x:c r="H478" s="48" t="n">
        <x:v>1000</x:v>
      </x:c>
      <x:c r="I478" s="48" t="n">
        <x:v>0</x:v>
      </x:c>
      <x:c r="J478" s="48" t="n">
        <x:v>769</x:v>
      </x:c>
      <x:c r="K478" s="48" t="n">
        <x:v>0</x:v>
      </x:c>
      <x:c r="L478" s="48" t="n">
        <x:v>1000</x:v>
      </x:c>
      <x:c r="M478" s="48" t="n">
        <x:v>0</x:v>
      </x:c>
      <x:c r="N478" s="48" t="n">
        <x:v>0.24</x:v>
      </x:c>
      <x:c r="O478" s="48" t="n">
        <x:v>0.91</x:v>
      </x:c>
      <x:c r="P478" s="48" t="n">
        <x:v>0.33</x:v>
      </x:c>
      <x:c r="Q478" s="48" t="n">
        <x:v>0.89</x:v>
      </x:c>
      <x:c r="R478" s="31" t="str">
        <x:v>ok</x:v>
      </x:c>
      <x:c r="S478" s="51" t="n">
        <x:v>0.9995570182800293</x:v>
      </x:c>
      <x:c r="T478" s="31" t="str">
        <x:v>https://mp.weixin.qq.com/s?__biz=MzUxOTMxNjk0OQ==&amp;mid=2247506781&amp;idx=1&amp;sn=d1301f6ca72cbf490d528561127bc62e&amp;chksm=f9f9efe7ce8e66f1778d4db78268de1f3055b88c42d028b38950c6e93e5d8c6a35a2e56ed112#rd</x:v>
      </x:c>
    </x:row>
    <x:row r="479">
      <x:c r="A479" s="36" t="d">
        <x:v>2026-04-23T00:00:00.000Z</x:v>
      </x:c>
      <x:c r="B479" s="48" t="n">
        <x:v>136.14</x:v>
      </x:c>
      <x:c r="C479" s="48" t="n">
        <x:v>7.75</x:v>
      </x:c>
      <x:c r="D479" s="48" t="n">
        <x:v>146.66</x:v>
      </x:c>
      <x:c r="E479" s="48" t="n">
        <x:v>8.9</x:v>
      </x:c>
      <x:c r="F479" s="48" t="n">
        <x:v>320</x:v>
      </x:c>
      <x:c r="G479" s="48" t="n">
        <x:v>0</x:v>
      </x:c>
      <x:c r="H479" s="48" t="n">
        <x:v>1000</x:v>
      </x:c>
      <x:c r="I479" s="48" t="n">
        <x:v>0</x:v>
      </x:c>
      <x:c r="J479" s="48" t="n">
        <x:v>799</x:v>
      </x:c>
      <x:c r="K479" s="48" t="n">
        <x:v>0</x:v>
      </x:c>
      <x:c r="L479" s="48" t="n">
        <x:v>1000</x:v>
      </x:c>
      <x:c r="M479" s="48" t="n">
        <x:v>0</x:v>
      </x:c>
      <x:c r="N479" s="48" t="n">
        <x:v>0.54</x:v>
      </x:c>
      <x:c r="O479" s="48" t="n">
        <x:v>0.76</x:v>
      </x:c>
      <x:c r="P479" s="48" t="n">
        <x:v>0.48</x:v>
      </x:c>
      <x:c r="Q479" s="48" t="n">
        <x:v>0.82</x:v>
      </x:c>
      <x:c r="R479" s="31" t="str">
        <x:v>ok</x:v>
      </x:c>
      <x:c r="S479" s="51" t="n">
        <x:v>0.9999814033508301</x:v>
      </x:c>
      <x:c r="T479" s="31" t="str">
        <x:v>https://mp.weixin.qq.com/s?__biz=MzUxOTMxNjk0OQ==&amp;mid=2247506787&amp;idx=1&amp;sn=7974eddcf18c7f2be3482770eb6e5cff&amp;chksm=f9f9efd9ce8e66cf531c34300317c91e48a7b595395397ddde69ab2c303d001115dc9b8c8c8e#rd</x:v>
      </x:c>
    </x:row>
    <x:row r="480">
      <x:c r="A480" s="36" t="d">
        <x:v>2026-04-24T00:00:00.000Z</x:v>
      </x:c>
      <x:c r="B480" s="48" t="n">
        <x:v>108.76</x:v>
      </x:c>
      <x:c r="C480" s="48" t="n">
        <x:v>12.07</x:v>
      </x:c>
      <x:c r="D480" s="48" t="n">
        <x:v>165.56</x:v>
      </x:c>
      <x:c r="E480" s="48" t="n">
        <x:v>53.94</x:v>
      </x:c>
      <x:c r="F480" s="48" t="n">
        <x:v>1000</x:v>
      </x:c>
      <x:c r="G480" s="48" t="n">
        <x:v>0</x:v>
      </x:c>
      <x:c r="H480" s="48" t="n">
        <x:v>1000</x:v>
      </x:c>
      <x:c r="I480" s="48" t="n">
        <x:v>0</x:v>
      </x:c>
      <x:c r="J480" s="48" t="n">
        <x:v>1000</x:v>
      </x:c>
      <x:c r="K480" s="48" t="n">
        <x:v>0</x:v>
      </x:c>
      <x:c r="L480" s="48" t="n">
        <x:v>1000</x:v>
      </x:c>
      <x:c r="M480" s="48" t="n">
        <x:v>0</x:v>
      </x:c>
      <x:c r="N480" s="48" t="n">
        <x:v>0.66</x:v>
      </x:c>
      <x:c r="O480" s="48" t="n">
        <x:v>0.72</x:v>
      </x:c>
      <x:c r="P480" s="48" t="n">
        <x:v>0.64</x:v>
      </x:c>
      <x:c r="Q480" s="48" t="n">
        <x:v>0.73</x:v>
      </x:c>
      <x:c r="R480" s="31" t="str">
        <x:v>ok</x:v>
      </x:c>
      <x:c r="S480" s="51" t="n">
        <x:v>0.9997726082801819</x:v>
      </x:c>
      <x:c r="T480" s="31" t="str">
        <x:v>https://mp.weixin.qq.com/s?__biz=MzUxOTMxNjk0OQ==&amp;mid=2247506793&amp;idx=1&amp;sn=188298ca06b01ef48f841c91ab267133&amp;chksm=f9f9efd3ce8e66c574faaeba39b0602ae9a53bf402e27c974decafad154febb2e65d9b589d94#rd</x:v>
      </x:c>
    </x:row>
    <x:row r="481">
      <x:c r="A481" s="36" t="d">
        <x:v>2026-04-25T00:00:00.000Z</x:v>
      </x:c>
      <x:c r="B481" s="48" t="n">
        <x:v>218.23</x:v>
      </x:c>
      <x:c r="C481" s="48" t="n">
        <x:v>16.77</x:v>
      </x:c>
      <x:c r="D481" s="48" t="n">
        <x:v>170.78</x:v>
      </x:c>
      <x:c r="E481" s="48" t="n">
        <x:v>12.98</x:v>
      </x:c>
      <x:c r="F481" s="48" t="n">
        <x:v>420</x:v>
      </x:c>
      <x:c r="G481" s="48" t="n">
        <x:v>0</x:v>
      </x:c>
      <x:c r="H481" s="48" t="n">
        <x:v>1000</x:v>
      </x:c>
      <x:c r="I481" s="48" t="n">
        <x:v>0</x:v>
      </x:c>
      <x:c r="J481" s="48" t="n">
        <x:v>508</x:v>
      </x:c>
      <x:c r="K481" s="48" t="n">
        <x:v>0</x:v>
      </x:c>
      <x:c r="L481" s="48" t="n">
        <x:v>1000</x:v>
      </x:c>
      <x:c r="M481" s="48" t="n">
        <x:v>0</x:v>
      </x:c>
      <x:c r="N481" s="48" t="n">
        <x:v>0.32</x:v>
      </x:c>
      <x:c r="O481" s="48" t="n">
        <x:v>0.84</x:v>
      </x:c>
      <x:c r="P481" s="48" t="n">
        <x:v>0.45</x:v>
      </x:c>
      <x:c r="Q481" s="48" t="n">
        <x:v>0.82</x:v>
      </x:c>
      <x:c r="R481" s="31" t="str">
        <x:v>ok</x:v>
      </x:c>
      <x:c r="S481" s="51" t="n">
        <x:v>0.999954104423523</x:v>
      </x:c>
      <x:c r="T481" s="31" t="str">
        <x:v>https://mp.weixin.qq.com/s?__biz=MzUxOTMxNjk0OQ==&amp;mid=2247506797&amp;idx=1&amp;sn=143e89c44a26c7cda223f588c654a4b0&amp;chksm=f9f9efd7ce8e66c18150cc394edd9f76d7af08bbc10641f2f6f70642369cf68d1a6111c76e1d#rd</x:v>
      </x:c>
    </x:row>
    <x:row r="482">
      <x:c r="A482" s="36" t="d">
        <x:v>2026-04-26T00:00:00.000Z</x:v>
      </x:c>
      <x:c r="B482" s="48" t="n">
        <x:v>209.74</x:v>
      </x:c>
      <x:c r="C482" s="48" t="n">
        <x:v>16.2</x:v>
      </x:c>
      <x:c r="D482" s="48" t="n">
        <x:v>181.5</x:v>
      </x:c>
      <x:c r="E482" s="48" t="n">
        <x:v>8.06</x:v>
      </x:c>
      <x:c r="F482" s="48" t="n">
        <x:v>1000</x:v>
      </x:c>
      <x:c r="G482" s="48" t="n">
        <x:v>0</x:v>
      </x:c>
      <x:c r="H482" s="48" t="n">
        <x:v>1000</x:v>
      </x:c>
      <x:c r="I482" s="48" t="n">
        <x:v>0</x:v>
      </x:c>
      <x:c r="J482" s="48" t="n">
        <x:v>1000</x:v>
      </x:c>
      <x:c r="K482" s="48" t="n">
        <x:v>0</x:v>
      </x:c>
      <x:c r="L482" s="48" t="n">
        <x:v>1000</x:v>
      </x:c>
      <x:c r="M482" s="48" t="n">
        <x:v>0</x:v>
      </x:c>
      <x:c r="N482" s="48" t="n">
        <x:v>0.46</x:v>
      </x:c>
      <x:c r="O482" s="48" t="n">
        <x:v>0.85</x:v>
      </x:c>
      <x:c r="P482" s="48" t="n">
        <x:v>0.5</x:v>
      </x:c>
      <x:c r="Q482" s="48" t="n">
        <x:v>0.81</x:v>
      </x:c>
      <x:c r="R482" s="31" t="str">
        <x:v>ok</x:v>
      </x:c>
      <x:c r="S482" s="51" t="n">
        <x:v>0.999969482421875</x:v>
      </x:c>
      <x:c r="T482" s="31" t="str">
        <x:v>https://mp.weixin.qq.com/s?__biz=MzUxOTMxNjk0OQ==&amp;mid=2247506801&amp;idx=1&amp;sn=9dbf27f534742fee5ae721b164e07028&amp;chksm=f9f9efcbce8e66dd2659fd41dc13e219651becf65f2cb24f4ee9bb4b7935eef9a5b394d49c46#rd</x:v>
      </x:c>
    </x:row>
    <x:row r="483">
      <x:c r="A483" s="36" t="d">
        <x:v>2026-04-27T00:00:00.000Z</x:v>
      </x:c>
      <x:c r="B483" s="48" t="n">
        <x:v>61.52</x:v>
      </x:c>
      <x:c r="C483" s="48" t="n">
        <x:v>52.29</x:v>
      </x:c>
      <x:c r="D483" s="48" t="n">
        <x:v>65.98</x:v>
      </x:c>
      <x:c r="E483" s="48" t="n">
        <x:v>55.42</x:v>
      </x:c>
      <x:c r="F483" s="48" t="n">
        <x:v>1000</x:v>
      </x:c>
      <x:c r="G483" s="48" t="n">
        <x:v>0</x:v>
      </x:c>
      <x:c r="H483" s="48" t="n">
        <x:v>1000</x:v>
      </x:c>
      <x:c r="I483" s="48" t="n">
        <x:v>0</x:v>
      </x:c>
      <x:c r="J483" s="48" t="n">
        <x:v>1000</x:v>
      </x:c>
      <x:c r="K483" s="48" t="n">
        <x:v>0</x:v>
      </x:c>
      <x:c r="L483" s="48" t="n">
        <x:v>1000</x:v>
      </x:c>
      <x:c r="M483" s="48" t="n">
        <x:v>0</x:v>
      </x:c>
      <x:c r="N483" s="48" t="n">
        <x:v>0.59</x:v>
      </x:c>
      <x:c r="O483" s="48" t="n">
        <x:v>0.89</x:v>
      </x:c>
      <x:c r="P483" s="48" t="n">
        <x:v>0.47</x:v>
      </x:c>
      <x:c r="Q483" s="48" t="n">
        <x:v>0.86</x:v>
      </x:c>
      <x:c r="R483" s="31" t="str">
        <x:v>ok</x:v>
      </x:c>
      <x:c r="S483" s="51" t="n">
        <x:v>0.997343897819519</x:v>
      </x:c>
      <x:c r="T483" s="31" t="str">
        <x:v>https://mp.weixin.qq.com/s?__biz=MzUxOTMxNjk0OQ==&amp;mid=2247506805&amp;idx=1&amp;sn=3812fb5a1510589b58b85f00a8189f76&amp;chksm=f9f9efcfce8e66d922d8591351f1d1d67dffd3f45d8957ab28bb167af6376196623d46d96aa0#rd</x:v>
      </x:c>
    </x:row>
    <x:row r="484">
      <x:c r="A484" s="36" t="d">
        <x:v>2026-04-28T00:00:00.000Z</x:v>
      </x:c>
      <x:c r="B484" s="48" t="n">
        <x:v>138.26</x:v>
      </x:c>
      <x:c r="C484" s="48" t="n">
        <x:v>15.71</x:v>
      </x:c>
      <x:c r="D484" s="48" t="n">
        <x:v>102.17</x:v>
      </x:c>
      <x:c r="E484" s="48" t="n">
        <x:v>15.41</x:v>
      </x:c>
      <x:c r="F484" s="48" t="n">
        <x:v>1000</x:v>
      </x:c>
      <x:c r="G484" s="48" t="n">
        <x:v>0</x:v>
      </x:c>
      <x:c r="H484" s="48" t="n">
        <x:v>1000</x:v>
      </x:c>
      <x:c r="I484" s="48" t="n">
        <x:v>0</x:v>
      </x:c>
      <x:c r="J484" s="48" t="n">
        <x:v>850</x:v>
      </x:c>
      <x:c r="K484" s="48" t="n">
        <x:v>0</x:v>
      </x:c>
      <x:c r="L484" s="48" t="n">
        <x:v>850</x:v>
      </x:c>
      <x:c r="M484" s="48" t="n">
        <x:v>0</x:v>
      </x:c>
      <x:c r="N484" s="48" t="n">
        <x:v>0.45</x:v>
      </x:c>
      <x:c r="O484" s="48" t="n">
        <x:v>0.74</x:v>
      </x:c>
      <x:c r="P484" s="48" t="n">
        <x:v>0.58</x:v>
      </x:c>
      <x:c r="Q484" s="48" t="n">
        <x:v>0.77</x:v>
      </x:c>
      <x:c r="R484" s="31" t="str">
        <x:v>ok</x:v>
      </x:c>
      <x:c r="S484" s="51" t="n">
        <x:v>0.9999580979347229</x:v>
      </x:c>
      <x:c r="T484" s="31" t="str">
        <x:v>https://mp.weixin.qq.com/s?__biz=MzUxOTMxNjk0OQ==&amp;mid=2247506812&amp;idx=1&amp;sn=108f1fdffd5a070957eb1c589c208948&amp;chksm=f9f9efc6ce8e66d0b43fba3ee8af2c489221b2f8c61a307e8e2b5b2258578e55a16ee5aa807f#rd</x:v>
      </x:c>
    </x:row>
    <x:row r="485">
      <x:c r="A485" s="36" t="d">
        <x:v>2026-04-29T00:00:00.000Z</x:v>
      </x:c>
      <x:c r="B485" s="48" t="n">
        <x:v>152.93</x:v>
      </x:c>
      <x:c r="C485" s="48" t="n">
        <x:v>15.94</x:v>
      </x:c>
      <x:c r="D485" s="48" t="n">
        <x:v>165.09</x:v>
      </x:c>
      <x:c r="E485" s="48" t="n">
        <x:v>25.39</x:v>
      </x:c>
      <x:c r="F485" s="48" t="n">
        <x:v>500</x:v>
      </x:c>
      <x:c r="G485" s="48" t="n">
        <x:v>0</x:v>
      </x:c>
      <x:c r="H485" s="48" t="n">
        <x:v>500</x:v>
      </x:c>
      <x:c r="I485" s="48" t="n">
        <x:v>0</x:v>
      </x:c>
      <x:c r="J485" s="48" t="n">
        <x:v>670</x:v>
      </x:c>
      <x:c r="K485" s="48" t="n">
        <x:v>0</x:v>
      </x:c>
      <x:c r="L485" s="48" t="n">
        <x:v>670</x:v>
      </x:c>
      <x:c r="M485" s="48" t="n">
        <x:v>0</x:v>
      </x:c>
      <x:c r="N485" s="48" t="n">
        <x:v>0.39</x:v>
      </x:c>
      <x:c r="O485" s="48" t="n">
        <x:v>0.82</x:v>
      </x:c>
      <x:c r="P485" s="48" t="n">
        <x:v>0.29</x:v>
      </x:c>
      <x:c r="Q485" s="48" t="n">
        <x:v>0.87</x:v>
      </x:c>
      <x:c r="R485" s="31" t="str">
        <x:v>ok</x:v>
      </x:c>
      <x:c r="S485" s="51" t="n">
        <x:v>0.9991202354431152</x:v>
      </x:c>
      <x:c r="T485" s="31" t="str">
        <x:v>https://mp.weixin.qq.com/s?__biz=MzUxOTMxNjk0OQ==&amp;mid=2247506833&amp;idx=1&amp;sn=f38d2c61ec770c2f1d0d4bfb5f4eb4c4&amp;chksm=f9f9ef2bce8e663d55fdde38e817dec44ff854efedf19213fe7a59f821cd58a1419dfeb5389c#rd</x:v>
      </x:c>
    </x:row>
    <x:row r="486">
      <x:c r="A486" s="36" t="d">
        <x:v>2026-04-30T00:00:00.000Z</x:v>
      </x:c>
      <x:c r="B486" s="48" t="n">
        <x:v>46.78</x:v>
      </x:c>
      <x:c r="C486" s="48" t="n">
        <x:v>1.75</x:v>
      </x:c>
      <x:c r="D486" s="48" t="n">
        <x:v>60.97</x:v>
      </x:c>
      <x:c r="E486" s="48" t="n">
        <x:v>7.82</x:v>
      </x:c>
      <x:c r="F486" s="48" t="n">
        <x:v>270</x:v>
      </x:c>
      <x:c r="G486" s="48" t="n">
        <x:v>0</x:v>
      </x:c>
      <x:c r="H486" s="48" t="n">
        <x:v>270</x:v>
      </x:c>
      <x:c r="I486" s="48" t="n">
        <x:v>0</x:v>
      </x:c>
      <x:c r="J486" s="48" t="n">
        <x:v>532.97</x:v>
      </x:c>
      <x:c r="K486" s="48" t="n">
        <x:v>0</x:v>
      </x:c>
      <x:c r="L486" s="48" t="n">
        <x:v>532.97</x:v>
      </x:c>
      <x:c r="M486" s="48" t="n">
        <x:v>0</x:v>
      </x:c>
      <x:c r="N486" s="48" t="n">
        <x:v>0.79</x:v>
      </x:c>
      <x:c r="O486" s="48" t="n">
        <x:v>0.7</x:v>
      </x:c>
      <x:c r="P486" s="48" t="n">
        <x:v>0.76</x:v>
      </x:c>
      <x:c r="Q486" s="48" t="n">
        <x:v>0.72</x:v>
      </x:c>
      <x:c r="R486" s="31" t="str">
        <x:v>ok</x:v>
      </x:c>
      <x:c r="S486" s="51" t="n">
        <x:v>0.9999832510948181</x:v>
      </x:c>
      <x:c r="T486" s="31" t="str">
        <x:v>https://mp.weixin.qq.com/s?__biz=MzUxOTMxNjk0OQ==&amp;mid=2247506846&amp;idx=1&amp;sn=2c535651ae8de6f7fc74c8a6b7b6a4a7&amp;chksm=f9f9ef24ce8e66320d18dbeb28542f351ff0e2aad8dd9eadf057ae559000acee3175fc21694b#rd</x:v>
      </x:c>
    </x:row>
    <x:row r="487">
      <x:c r="A487" s="36" t="d">
        <x:v>2026-05-01T00:00:00.000Z</x:v>
      </x:c>
      <x:c r="B487" s="48" t="n">
        <x:v>81.44</x:v>
      </x:c>
      <x:c r="C487" s="48" t="n">
        <x:v>49.08</x:v>
      </x:c>
      <x:c r="D487" s="48" t="n">
        <x:v>50.04</x:v>
      </x:c>
      <x:c r="E487" s="48" t="n">
        <x:v>40.81</x:v>
      </x:c>
      <x:c r="F487" s="48" t="n">
        <x:v>300</x:v>
      </x:c>
      <x:c r="G487" s="48" t="n">
        <x:v>0</x:v>
      </x:c>
      <x:c r="H487" s="48" t="n">
        <x:v>300</x:v>
      </x:c>
      <x:c r="I487" s="48" t="n">
        <x:v>0</x:v>
      </x:c>
      <x:c r="J487" s="48" t="n">
        <x:v>710</x:v>
      </x:c>
      <x:c r="K487" s="48" t="n">
        <x:v>0</x:v>
      </x:c>
      <x:c r="L487" s="48" t="n">
        <x:v>710</x:v>
      </x:c>
      <x:c r="M487" s="48" t="n">
        <x:v>0</x:v>
      </x:c>
      <x:c r="N487" s="48" t="n">
        <x:v>0.58</x:v>
      </x:c>
      <x:c r="O487" s="48" t="n">
        <x:v>0.41</x:v>
      </x:c>
      <x:c r="P487" s="48" t="n">
        <x:v>0.6</x:v>
      </x:c>
      <x:c r="Q487" s="48" t="n">
        <x:v>0.41</x:v>
      </x:c>
      <x:c r="R487" s="31" t="str">
        <x:v>ok</x:v>
      </x:c>
      <x:c r="S487" s="51" t="n">
        <x:v>0.9999907612800598</x:v>
      </x:c>
      <x:c r="T487" s="31" t="str">
        <x:v>https://mp.weixin.qq.com/s?__biz=MzUxOTMxNjk0OQ==&amp;mid=2247506849&amp;idx=1&amp;sn=cfc2083d6e6ebabbbbc921b5deba3a75&amp;chksm=f9f9ef1bce8e660d35e0a389f7cd494b8f20a8317ba688338ce37df2462522c40336014f4b5f#rd</x:v>
      </x:c>
    </x:row>
    <x:row r="488">
      <x:c r="A488" s="36" t="d">
        <x:v>2026-05-02T00:00:00.000Z</x:v>
      </x:c>
      <x:c r="B488" s="48" t="n">
        <x:v>54.19</x:v>
      </x:c>
      <x:c r="C488" s="48" t="n">
        <x:v>0</x:v>
      </x:c>
      <x:c r="D488" s="48" t="n">
        <x:v>61.86</x:v>
      </x:c>
      <x:c r="E488" s="48" t="n">
        <x:v>0.08</x:v>
      </x:c>
      <x:c r="F488" s="48" t="n">
        <x:v>300</x:v>
      </x:c>
      <x:c r="G488" s="48" t="n">
        <x:v>0</x:v>
      </x:c>
      <x:c r="H488" s="48" t="n">
        <x:v>300</x:v>
      </x:c>
      <x:c r="I488" s="48" t="n">
        <x:v>0</x:v>
      </x:c>
      <x:c r="J488" s="48" t="n">
        <x:v>395</x:v>
      </x:c>
      <x:c r="K488" s="48" t="n">
        <x:v>0</x:v>
      </x:c>
      <x:c r="L488" s="48" t="n">
        <x:v>395</x:v>
      </x:c>
      <x:c r="M488" s="48" t="n">
        <x:v>0</x:v>
      </x:c>
      <x:c r="N488" s="48" t="n">
        <x:v>0.99</x:v>
      </x:c>
      <x:c r="O488" s="48" t="n">
        <x:v>0.39</x:v>
      </x:c>
      <x:c r="P488" s="48" t="n">
        <x:v>0.86</x:v>
      </x:c>
      <x:c r="Q488" s="48" t="n">
        <x:v>0.42</x:v>
      </x:c>
      <x:c r="R488" s="31" t="str">
        <x:v>ok</x:v>
      </x:c>
      <x:c r="S488" s="51" t="n">
        <x:v>0.9999870657920837</x:v>
      </x:c>
      <x:c r="T488" s="31" t="str">
        <x:v>https://mp.weixin.qq.com/s?__biz=MzUxOTMxNjk0OQ==&amp;mid=2247506853&amp;idx=1&amp;sn=921fd75233484616f5f3f840e5a71f3f&amp;chksm=f9f9ef1fce8e6609e29e798299be777e454108b229dfc9ca63c4cbac6abc10491d37295c49d5#rd</x:v>
      </x:c>
    </x:row>
    <x:row r="489">
      <x:c r="A489" s="36" t="d">
        <x:v>2026-05-03T00:00:00.000Z</x:v>
      </x:c>
      <x:c r="B489" s="48" t="n">
        <x:v>56.86</x:v>
      </x:c>
      <x:c r="C489" s="48" t="n">
        <x:v>0.61</x:v>
      </x:c>
      <x:c r="D489" s="48" t="n">
        <x:v>81.97</x:v>
      </x:c>
      <x:c r="E489" s="48" t="n">
        <x:v>3.5</x:v>
      </x:c>
      <x:c r="F489" s="48" t="n">
        <x:v>1000</x:v>
      </x:c>
      <x:c r="G489" s="48" t="n">
        <x:v>0</x:v>
      </x:c>
      <x:c r="H489" s="48" t="n">
        <x:v>1000</x:v>
      </x:c>
      <x:c r="I489" s="48" t="n">
        <x:v>0</x:v>
      </x:c>
      <x:c r="J489" s="48" t="n">
        <x:v>1000</x:v>
      </x:c>
      <x:c r="K489" s="48" t="n">
        <x:v>0</x:v>
      </x:c>
      <x:c r="L489" s="48" t="n">
        <x:v>1000</x:v>
      </x:c>
      <x:c r="M489" s="48" t="n">
        <x:v>0</x:v>
      </x:c>
      <x:c r="N489" s="48" t="n">
        <x:v>0.71</x:v>
      </x:c>
      <x:c r="O489" s="48" t="n">
        <x:v>0.45</x:v>
      </x:c>
      <x:c r="P489" s="48" t="n">
        <x:v>0.67</x:v>
      </x:c>
      <x:c r="Q489" s="48" t="n">
        <x:v>0.41</x:v>
      </x:c>
      <x:c r="R489" s="31" t="str">
        <x:v>ok</x:v>
      </x:c>
      <x:c r="S489" s="51" t="n">
        <x:v>0.970233142375946</x:v>
      </x:c>
      <x:c r="T489" s="31" t="str">
        <x:v>https://mp.weixin.qq.com/s?__biz=MzUxOTMxNjk0OQ==&amp;mid=2247506857&amp;idx=1&amp;sn=020a6e9b750cea48ed5ae30581d52196&amp;chksm=f9f9ef13ce8e6605d8af95aaaedf55017a1dcdca716f7dfb357b4a7db61dd1f0fd44512c179f#rd</x:v>
      </x:c>
    </x:row>
    <x:row r="490">
      <x:c r="A490" s="36" t="d">
        <x:v>2026-05-04T00:00:00.000Z</x:v>
      </x:c>
      <x:c r="B490" s="48" t="n">
        <x:v>164.5</x:v>
      </x:c>
      <x:c r="C490" s="48" t="n">
        <x:v>2.21</x:v>
      </x:c>
      <x:c r="D490" s="48" t="n">
        <x:v>140.39</x:v>
      </x:c>
      <x:c r="E490" s="48" t="n">
        <x:v>6.07</x:v>
      </x:c>
      <x:c r="F490" s="48" t="n">
        <x:v>1000</x:v>
      </x:c>
      <x:c r="G490" s="48" t="n">
        <x:v>0</x:v>
      </x:c>
      <x:c r="H490" s="48" t="n">
        <x:v>1000</x:v>
      </x:c>
      <x:c r="I490" s="48" t="n">
        <x:v>0</x:v>
      </x:c>
      <x:c r="J490" s="48" t="n">
        <x:v>1000</x:v>
      </x:c>
      <x:c r="K490" s="48" t="n">
        <x:v>0</x:v>
      </x:c>
      <x:c r="L490" s="48" t="n">
        <x:v>1000</x:v>
      </x:c>
      <x:c r="M490" s="48" t="n">
        <x:v>0</x:v>
      </x:c>
      <x:c r="N490" s="48" t="n">
        <x:v>0.69</x:v>
      </x:c>
      <x:c r="O490" s="48" t="n">
        <x:v>0.5</x:v>
      </x:c>
      <x:c r="P490" s="48" t="n">
        <x:v>0.69</x:v>
      </x:c>
      <x:c r="Q490" s="48" t="n">
        <x:v>0.5</x:v>
      </x:c>
      <x:c r="R490" s="31" t="str">
        <x:v>ok</x:v>
      </x:c>
      <x:c r="S490" s="51" t="n">
        <x:v>0.94608473777771</x:v>
      </x:c>
      <x:c r="T490" s="31" t="str">
        <x:v>https://mp.weixin.qq.com/s?__biz=MzUxOTMxNjk0OQ==&amp;mid=2247506862&amp;idx=1&amp;sn=441bfe74a0fccc78b3a0a326f7c27f63&amp;chksm=f9f9ef14ce8e66021087c25638c2a7f38ae8229722cc43380ebc4f6e5a9a598e345b394c8fcd#rd</x:v>
      </x:c>
    </x:row>
    <x:row r="491">
      <x:c r="A491" s="36" t="d">
        <x:v>2026-05-05T00:00:00.000Z</x:v>
      </x:c>
      <x:c r="B491" s="48" t="n">
        <x:v>59.71</x:v>
      </x:c>
      <x:c r="C491" s="48" t="n">
        <x:v>8.66</x:v>
      </x:c>
      <x:c r="D491" s="48" t="n">
        <x:v>62.57</x:v>
      </x:c>
      <x:c r="E491" s="48" t="n">
        <x:v>12.14</x:v>
      </x:c>
      <x:c r="F491" s="48" t="n">
        <x:v>420</x:v>
      </x:c>
      <x:c r="G491" s="48" t="n">
        <x:v>0</x:v>
      </x:c>
      <x:c r="H491" s="48" t="n">
        <x:v>420</x:v>
      </x:c>
      <x:c r="I491" s="48" t="n">
        <x:v>0</x:v>
      </x:c>
      <x:c r="J491" s="48" t="n">
        <x:v>320</x:v>
      </x:c>
      <x:c r="K491" s="48" t="n">
        <x:v>0</x:v>
      </x:c>
      <x:c r="L491" s="48" t="n">
        <x:v>320</x:v>
      </x:c>
      <x:c r="M491" s="48" t="n">
        <x:v>0</x:v>
      </x:c>
      <x:c r="N491" s="48" t="n">
        <x:v>0.77</x:v>
      </x:c>
      <x:c r="O491" s="48" t="n">
        <x:v>0.57</x:v>
      </x:c>
      <x:c r="P491" s="48" t="n">
        <x:v>0.82</x:v>
      </x:c>
      <x:c r="Q491" s="48" t="n">
        <x:v>0.55</x:v>
      </x:c>
      <x:c r="R491" s="31" t="str">
        <x:v>ok</x:v>
      </x:c>
      <x:c r="S491" s="51" t="n">
        <x:v>0.9909856915473938</x:v>
      </x:c>
      <x:c r="T491" s="31" t="str">
        <x:v>https://mp.weixin.qq.com/s?__biz=MzUxOTMxNjk0OQ==&amp;mid=2247506867&amp;idx=1&amp;sn=408710eaa04b2b8b7711286712b7044b&amp;chksm=f9f9ef09ce8e661fc6f729d53018ca2e3db50f9f6656699c96af6b80e0a044fc634cba992923#rd</x:v>
      </x:c>
    </x:row>
    <x:row r="492">
      <x:c r="A492" s="36" t="d">
        <x:v>2026-05-06T00:00:00.000Z</x:v>
      </x:c>
      <x:c r="B492" s="48" t="n">
        <x:v>89.04</x:v>
      </x:c>
      <x:c r="C492" s="48" t="n">
        <x:v>3.44</x:v>
      </x:c>
      <x:c r="D492" s="48" t="n">
        <x:v>103.91</x:v>
      </x:c>
      <x:c r="E492" s="48" t="n">
        <x:v>22.14</x:v>
      </x:c>
      <x:c r="F492" s="48" t="n">
        <x:v>268</x:v>
      </x:c>
      <x:c r="G492" s="48" t="n">
        <x:v>0</x:v>
      </x:c>
      <x:c r="H492" s="48" t="n">
        <x:v>268</x:v>
      </x:c>
      <x:c r="I492" s="48" t="n">
        <x:v>0</x:v>
      </x:c>
      <x:c r="J492" s="48" t="n">
        <x:v>300</x:v>
      </x:c>
      <x:c r="K492" s="48" t="n">
        <x:v>0</x:v>
      </x:c>
      <x:c r="L492" s="48" t="n">
        <x:v>300</x:v>
      </x:c>
      <x:c r="M492" s="48" t="n">
        <x:v>0</x:v>
      </x:c>
      <x:c r="N492" s="48" t="n">
        <x:v>1.06</x:v>
      </x:c>
      <x:c r="O492" s="48" t="n">
        <x:v>0.46</x:v>
      </x:c>
      <x:c r="P492" s="48" t="n">
        <x:v>0.98</x:v>
      </x:c>
      <x:c r="Q492" s="48" t="n">
        <x:v>0.44</x:v>
      </x:c>
      <x:c r="R492" s="31" t="str">
        <x:v>ok</x:v>
      </x:c>
      <x:c r="S492" s="51" t="n">
        <x:v>0.978985071182251</x:v>
      </x:c>
      <x:c r="T492" s="31" t="str">
        <x:v>https://mp.weixin.qq.com/s?__biz=MzUxOTMxNjk0OQ==&amp;mid=2247506872&amp;idx=1&amp;sn=b6d702cc4d3f985fb3b0e37c5004c3e1&amp;chksm=f9f9ef02ce8e6614a34a37e4474883207569df1e00f3b19bf1e6544b30154405588a6de61b8e#rd</x:v>
      </x:c>
    </x:row>
    <x:row r="493">
      <x:c r="A493" s="36" t="d">
        <x:v>2026-05-07T00:00:00.000Z</x:v>
      </x:c>
      <x:c r="B493" s="48" t="n">
        <x:v>167.15</x:v>
      </x:c>
      <x:c r="C493" s="48" t="n">
        <x:v>18.23</x:v>
      </x:c>
      <x:c r="D493" s="48" t="n">
        <x:v>168.46</x:v>
      </x:c>
      <x:c r="E493" s="48" t="n">
        <x:v>18.83</x:v>
      </x:c>
      <x:c r="F493" s="48" t="n">
        <x:v>1000</x:v>
      </x:c>
      <x:c r="G493" s="48" t="n">
        <x:v>0</x:v>
      </x:c>
      <x:c r="H493" s="48" t="n">
        <x:v>1000</x:v>
      </x:c>
      <x:c r="I493" s="48" t="n">
        <x:v>0</x:v>
      </x:c>
      <x:c r="J493" s="48" t="n">
        <x:v>1000</x:v>
      </x:c>
      <x:c r="K493" s="48" t="n">
        <x:v>0</x:v>
      </x:c>
      <x:c r="L493" s="48" t="n">
        <x:v>1000</x:v>
      </x:c>
      <x:c r="M493" s="48" t="n">
        <x:v>0</x:v>
      </x:c>
      <x:c r="N493" s="48" t="n">
        <x:v>0.47</x:v>
      </x:c>
      <x:c r="O493" s="48" t="n">
        <x:v>0.78</x:v>
      </x:c>
      <x:c r="P493" s="48" t="n">
        <x:v>0.44</x:v>
      </x:c>
      <x:c r="Q493" s="48" t="n">
        <x:v>0.77</x:v>
      </x:c>
      <x:c r="R493" s="31" t="str">
        <x:v>ok</x:v>
      </x:c>
      <x:c r="S493" s="51" t="n">
        <x:v>0.999893307685852</x:v>
      </x:c>
      <x:c r="T493" s="31" t="str">
        <x:v>https://mp.weixin.qq.com/s?__biz=MzUxOTMxNjk0OQ==&amp;mid=2247507114&amp;idx=1&amp;sn=612a3e336cc4baa58764d830f23e4e62&amp;chksm=f9f9e810ce8e6106c1764c2c0f0adfdbc589bf2e438ddab40fe19c362f297424db8654590fcf#rd</x:v>
      </x:c>
    </x:row>
    <x:row r="494">
      <x:c r="A494" s="36" t="d">
        <x:v>2026-05-08T00:00:00.000Z</x:v>
      </x:c>
      <x:c r="B494" s="48" t="n">
        <x:v>91.32</x:v>
      </x:c>
      <x:c r="C494" s="48" t="n">
        <x:v>4.63</x:v>
      </x:c>
      <x:c r="D494" s="48" t="n">
        <x:v>83.09</x:v>
      </x:c>
      <x:c r="E494" s="48" t="n">
        <x:v>2.89</x:v>
      </x:c>
      <x:c r="F494" s="48" t="n">
        <x:v>442</x:v>
      </x:c>
      <x:c r="G494" s="48" t="n">
        <x:v>0</x:v>
      </x:c>
      <x:c r="H494" s="48" t="n">
        <x:v>442</x:v>
      </x:c>
      <x:c r="I494" s="48" t="n">
        <x:v>0</x:v>
      </x:c>
      <x:c r="J494" s="48" t="n">
        <x:v>320</x:v>
      </x:c>
      <x:c r="K494" s="48" t="n">
        <x:v>0</x:v>
      </x:c>
      <x:c r="L494" s="48" t="n">
        <x:v>320</x:v>
      </x:c>
      <x:c r="M494" s="48" t="n">
        <x:v>0</x:v>
      </x:c>
      <x:c r="N494" s="48" t="n">
        <x:v>0.75</x:v>
      </x:c>
      <x:c r="O494" s="48" t="n">
        <x:v>0.73</x:v>
      </x:c>
      <x:c r="P494" s="48" t="n">
        <x:v>0.73</x:v>
      </x:c>
      <x:c r="Q494" s="48" t="n">
        <x:v>0.74</x:v>
      </x:c>
      <x:c r="R494" s="31" t="str">
        <x:v>ok</x:v>
      </x:c>
      <x:c r="S494" s="51" t="n">
        <x:v>0.9999884366989136</x:v>
      </x:c>
      <x:c r="T494" s="31" t="str">
        <x:v>https://mp.weixin.qq.com/s?__biz=MzUxOTMxNjk0OQ==&amp;mid=2247507128&amp;idx=1&amp;sn=c8b414100bb29af93629e2c3a9d730ad&amp;chksm=f9f9e802ce8e61143bb322520e5e15019226d41bb078a3ae55dc4d543e626c48d98ec6057588#rd</x:v>
      </x:c>
    </x:row>
    <x:row r="495">
      <x:c r="A495" s="36" t="d">
        <x:v>2026-05-09T00:00:00.000Z</x:v>
      </x:c>
      <x:c r="B495" s="48" t="n">
        <x:v>86.17</x:v>
      </x:c>
      <x:c r="C495" s="48" t="n">
        <x:v>0.42</x:v>
      </x:c>
      <x:c r="D495" s="48" t="n">
        <x:v>118.11</x:v>
      </x:c>
      <x:c r="E495" s="48" t="n">
        <x:v>3.41</x:v>
      </x:c>
      <x:c r="F495" s="48" t="n">
        <x:v>1000</x:v>
      </x:c>
      <x:c r="G495" s="48" t="n">
        <x:v>0</x:v>
      </x:c>
      <x:c r="H495" s="48" t="n">
        <x:v>1000</x:v>
      </x:c>
      <x:c r="I495" s="48" t="n">
        <x:v>0</x:v>
      </x:c>
      <x:c r="J495" s="48" t="n">
        <x:v>1000</x:v>
      </x:c>
      <x:c r="K495" s="48" t="n">
        <x:v>0</x:v>
      </x:c>
      <x:c r="L495" s="48" t="n">
        <x:v>1000</x:v>
      </x:c>
      <x:c r="M495" s="48" t="n">
        <x:v>0</x:v>
      </x:c>
      <x:c r="N495" s="48" t="n">
        <x:v>0.74</x:v>
      </x:c>
      <x:c r="O495" s="48" t="n">
        <x:v>0.63</x:v>
      </x:c>
      <x:c r="P495" s="48" t="n">
        <x:v>0.71</x:v>
      </x:c>
      <x:c r="Q495" s="48" t="n">
        <x:v>0.65</x:v>
      </x:c>
      <x:c r="R495" s="31" t="str">
        <x:v>ok</x:v>
      </x:c>
      <x:c r="S495" s="51" t="n">
        <x:v>0.9981680512428284</x:v>
      </x:c>
      <x:c r="T495" s="31" t="str">
        <x:v>https://mp.weixin.qq.com/s?__biz=MzUxOTMxNjk0OQ==&amp;mid=2247507132&amp;idx=1&amp;sn=2f99ffa18e84bb520326fab2a8fecaba&amp;chksm=f9f9e806ce8e6110ef09befad1bcdbfa03ac17de8d04c2160fa1c71d109ab19516890c302b44#rd</x:v>
      </x:c>
    </x:row>
    <x:row r="496">
      <x:c r="A496" s="36" t="d">
        <x:v>2026-05-10T00:00:00.000Z</x:v>
      </x:c>
      <x:c r="B496" s="48" t="n">
        <x:v>199.48</x:v>
      </x:c>
      <x:c r="C496" s="48" t="n">
        <x:v>4.49</x:v>
      </x:c>
      <x:c r="D496" s="48" t="n">
        <x:v>247.2</x:v>
      </x:c>
      <x:c r="E496" s="48" t="n">
        <x:v>7.5</x:v>
      </x:c>
      <x:c r="F496" s="48" t="n">
        <x:v>1000</x:v>
      </x:c>
      <x:c r="G496" s="48" t="n">
        <x:v>0</x:v>
      </x:c>
      <x:c r="H496" s="48" t="n">
        <x:v>1000</x:v>
      </x:c>
      <x:c r="I496" s="48" t="n">
        <x:v>0</x:v>
      </x:c>
      <x:c r="J496" s="48" t="n">
        <x:v>1000</x:v>
      </x:c>
      <x:c r="K496" s="48" t="n">
        <x:v>0</x:v>
      </x:c>
      <x:c r="L496" s="48" t="n">
        <x:v>1000</x:v>
      </x:c>
      <x:c r="M496" s="48" t="n">
        <x:v>0</x:v>
      </x:c>
      <x:c r="N496" s="48" t="n">
        <x:v>0.51</x:v>
      </x:c>
      <x:c r="O496" s="48" t="n">
        <x:v>0.62</x:v>
      </x:c>
      <x:c r="P496" s="48" t="n">
        <x:v>0.5</x:v>
      </x:c>
      <x:c r="Q496" s="48" t="n">
        <x:v>0.69</x:v>
      </x:c>
      <x:c r="R496" s="31" t="str">
        <x:v>ok</x:v>
      </x:c>
      <x:c r="S496" s="51" t="n">
        <x:v>0.9951831102371216</x:v>
      </x:c>
      <x:c r="T496" s="31" t="str">
        <x:v>https://mp.weixin.qq.com/s?__biz=MzUxOTMxNjk0OQ==&amp;mid=2247507141&amp;idx=1&amp;sn=c56ef0846b273efa9d3ed5892bcff273&amp;chksm=f9f9e87fce8e6169630f235e0d73972c507fe4ac7924046630fad57d348f3ed62d49876da3a6#rd</x:v>
      </x:c>
    </x:row>
    <x:row r="497">
      <x:c r="A497" s="36" t="d">
        <x:v>2026-05-11T00:00:00.000Z</x:v>
      </x:c>
      <x:c r="B497" s="48" t="n">
        <x:v>154.43</x:v>
      </x:c>
      <x:c r="C497" s="48" t="n">
        <x:v>13.65</x:v>
      </x:c>
      <x:c r="D497" s="48" t="n">
        <x:v>79.16</x:v>
      </x:c>
      <x:c r="E497" s="48" t="n">
        <x:v>10.81</x:v>
      </x:c>
      <x:c r="F497" s="48" t="n">
        <x:v>299</x:v>
      </x:c>
      <x:c r="G497" s="48" t="n">
        <x:v>0</x:v>
      </x:c>
      <x:c r="H497" s="48" t="n">
        <x:v>299</x:v>
      </x:c>
      <x:c r="I497" s="48" t="n">
        <x:v>0</x:v>
      </x:c>
      <x:c r="J497" s="48" t="n">
        <x:v>300</x:v>
      </x:c>
      <x:c r="K497" s="48" t="n">
        <x:v>0</x:v>
      </x:c>
      <x:c r="L497" s="48" t="n">
        <x:v>300</x:v>
      </x:c>
      <x:c r="M497" s="48" t="n">
        <x:v>0</x:v>
      </x:c>
      <x:c r="N497" s="48" t="n">
        <x:v>0.32</x:v>
      </x:c>
      <x:c r="O497" s="48" t="n">
        <x:v>0.85</x:v>
      </x:c>
      <x:c r="P497" s="48" t="n">
        <x:v>0.31</x:v>
      </x:c>
      <x:c r="Q497" s="48" t="n">
        <x:v>0.91</x:v>
      </x:c>
      <x:c r="R497" s="31" t="str">
        <x:v>ok</x:v>
      </x:c>
      <x:c r="S497" s="51" t="n">
        <x:v>0.9999915361404419</x:v>
      </x:c>
      <x:c r="T497" s="31" t="str">
        <x:v>https://mp.weixin.qq.com/s?__biz=MzUxOTMxNjk0OQ==&amp;mid=2247507143&amp;idx=1&amp;sn=e6fb06605c777ae26d0e03c21808a848&amp;chksm=f9f9e87dce8e616b3bdda405df81eb7b504c0c611a5fa1eb192b80399152413bf24b082f2d5c#rd</x:v>
      </x:c>
    </x:row>
    <x:row r="498">
      <x:c r="A498" s="36" t="d">
        <x:v>2026-05-12T00:00:00.000Z</x:v>
      </x:c>
      <x:c r="B498" s="48" t="n">
        <x:v>33.98</x:v>
      </x:c>
      <x:c r="C498" s="48" t="n">
        <x:v>0.54</x:v>
      </x:c>
      <x:c r="D498" s="48" t="n">
        <x:v>38.85</x:v>
      </x:c>
      <x:c r="E498" s="48" t="n">
        <x:v>14.4</x:v>
      </x:c>
      <x:c r="F498" s="48" t="n">
        <x:v>246</x:v>
      </x:c>
      <x:c r="G498" s="48" t="n">
        <x:v>0</x:v>
      </x:c>
      <x:c r="H498" s="48" t="n">
        <x:v>246</x:v>
      </x:c>
      <x:c r="I498" s="48" t="n">
        <x:v>0</x:v>
      </x:c>
      <x:c r="J498" s="48" t="n">
        <x:v>307</x:v>
      </x:c>
      <x:c r="K498" s="48" t="n">
        <x:v>0</x:v>
      </x:c>
      <x:c r="L498" s="48" t="n">
        <x:v>307</x:v>
      </x:c>
      <x:c r="M498" s="48" t="n">
        <x:v>0</x:v>
      </x:c>
      <x:c r="N498" s="48" t="n">
        <x:v>0.92</x:v>
      </x:c>
      <x:c r="O498" s="48" t="n">
        <x:v>0.68</x:v>
      </x:c>
      <x:c r="P498" s="48" t="n">
        <x:v>0.93</x:v>
      </x:c>
      <x:c r="Q498" s="48" t="n">
        <x:v>0.8</x:v>
      </x:c>
      <x:c r="R498" s="31" t="str">
        <x:v>ok</x:v>
      </x:c>
      <x:c r="S498" s="51" t="n">
        <x:v>0.9942546486854553</x:v>
      </x:c>
      <x:c r="T498" s="31" t="str">
        <x:v>https://mp.weixin.qq.com/s?__biz=MzUxOTMxNjk0OQ==&amp;mid=2247507160&amp;idx=1&amp;sn=4cac415409f47b5fbaee3a26b268e74e&amp;chksm=f9f9e862ce8e61744d2c46cfda62a4e1903476eabd7062ef7388f2dc836abcb6acbefd050745#rd</x:v>
      </x:c>
    </x:row>
    <x:row r="499">
      <x:c r="A499" s="36" t="d">
        <x:v>2026-05-13T00:00:00.000Z</x:v>
      </x:c>
      <x:c r="B499" s="48" t="n">
        <x:v>111.72</x:v>
      </x:c>
      <x:c r="C499" s="48" t="n">
        <x:v>12.02</x:v>
      </x:c>
      <x:c r="D499" s="48" t="n">
        <x:v>178.65</x:v>
      </x:c>
      <x:c r="E499" s="48" t="n">
        <x:v>86.26</x:v>
      </x:c>
      <x:c r="F499" s="48" t="n">
        <x:v>367</x:v>
      </x:c>
      <x:c r="G499" s="48" t="n">
        <x:v>0</x:v>
      </x:c>
      <x:c r="H499" s="48" t="n">
        <x:v>367</x:v>
      </x:c>
      <x:c r="I499" s="48" t="n">
        <x:v>0</x:v>
      </x:c>
      <x:c r="J499" s="48" t="n">
        <x:v>1000</x:v>
      </x:c>
      <x:c r="K499" s="48" t="n">
        <x:v>0</x:v>
      </x:c>
      <x:c r="L499" s="48" t="n">
        <x:v>1000</x:v>
      </x:c>
      <x:c r="M499" s="48" t="n">
        <x:v>0</x:v>
      </x:c>
      <x:c r="N499" s="48" t="n">
        <x:v>0.44</x:v>
      </x:c>
      <x:c r="O499" s="48" t="n">
        <x:v>0.65</x:v>
      </x:c>
      <x:c r="P499" s="48" t="n">
        <x:v>0.36</x:v>
      </x:c>
      <x:c r="Q499" s="48" t="n">
        <x:v>0.72</x:v>
      </x:c>
      <x:c r="R499" s="31" t="str">
        <x:v>ok</x:v>
      </x:c>
      <x:c r="S499" s="51" t="n">
        <x:v>0.9999736547470093</x:v>
      </x:c>
      <x:c r="T499" s="31" t="str">
        <x:v>https://mp.weixin.qq.com/s?__biz=MzUxOTMxNjk0OQ==&amp;mid=2247507193&amp;idx=1&amp;sn=c16b15e3673ecd0046481f496abd5d6b&amp;chksm=f9f9e843ce8e61550125890004f5b7ef4f2325cefc3cda0c9bfbdfc557ec6c34cddcc0a514bc#rd</x:v>
      </x:c>
    </x:row>
    <x:row r="500">
      <x:c r="A500" s="36" t="d">
        <x:v>2026-05-14T00:00:00.000Z</x:v>
      </x:c>
      <x:c r="B500" s="48" t="n">
        <x:v>191.11</x:v>
      </x:c>
      <x:c r="C500" s="48" t="n">
        <x:v>24.71</x:v>
      </x:c>
      <x:c r="D500" s="48" t="n">
        <x:v>301.34</x:v>
      </x:c>
      <x:c r="E500" s="48" t="n">
        <x:v>44.65</x:v>
      </x:c>
      <x:c r="F500" s="48" t="n">
        <x:v>339</x:v>
      </x:c>
      <x:c r="G500" s="48" t="n">
        <x:v>0</x:v>
      </x:c>
      <x:c r="H500" s="48" t="n">
        <x:v>339</x:v>
      </x:c>
      <x:c r="I500" s="48" t="n">
        <x:v>0</x:v>
      </x:c>
      <x:c r="J500" s="48" t="n">
        <x:v>1000</x:v>
      </x:c>
      <x:c r="K500" s="48" t="n">
        <x:v>0</x:v>
      </x:c>
      <x:c r="L500" s="48" t="n">
        <x:v>1000</x:v>
      </x:c>
      <x:c r="M500" s="48" t="n">
        <x:v>0</x:v>
      </x:c>
      <x:c r="N500" s="48" t="n">
        <x:v>0.33</x:v>
      </x:c>
      <x:c r="O500" s="48" t="n">
        <x:v>0.79</x:v>
      </x:c>
      <x:c r="P500" s="48" t="n">
        <x:v>0.29</x:v>
      </x:c>
      <x:c r="Q500" s="48" t="n">
        <x:v>0.79</x:v>
      </x:c>
      <x:c r="R500" s="31" t="str">
        <x:v>ok</x:v>
      </x:c>
      <x:c r="S500" s="51" t="n">
        <x:v>0.999977171421051</x:v>
      </x:c>
      <x:c r="T500" s="31" t="str">
        <x:v>https://mp.weixin.qq.com/s?__biz=MzUxOTMxNjk0OQ==&amp;mid=2247507200&amp;idx=1&amp;sn=8a1d4952c26b6233cdad3766ee7b3b6f&amp;chksm=f9f9e9bace8e60ac776bb00a227faa86852b35917405751f1f35f25bb39a0ad382632a3f38e2#rd</x:v>
      </x:c>
    </x:row>
    <x:row r="501">
      <x:c r="A501" s="36" t="d">
        <x:v>2026-05-15T00:00:00.000Z</x:v>
      </x:c>
      <x:c r="B501" s="48" t="n">
        <x:v>230.52</x:v>
      </x:c>
      <x:c r="C501" s="48" t="n">
        <x:v>99.45</x:v>
      </x:c>
      <x:c r="D501" s="48" t="n">
        <x:v>294.39</x:v>
      </x:c>
      <x:c r="E501" s="48" t="n">
        <x:v>319.68</x:v>
      </x:c>
      <x:c r="F501" s="48" t="n">
        <x:v>470</x:v>
      </x:c>
      <x:c r="G501" s="48" t="n">
        <x:v>0</x:v>
      </x:c>
      <x:c r="H501" s="48" t="n">
        <x:v>470</x:v>
      </x:c>
      <x:c r="I501" s="48" t="n">
        <x:v>0</x:v>
      </x:c>
      <x:c r="J501" s="48" t="n">
        <x:v>900</x:v>
      </x:c>
      <x:c r="K501" s="48" t="n">
        <x:v>0</x:v>
      </x:c>
      <x:c r="L501" s="48" t="n">
        <x:v>900</x:v>
      </x:c>
      <x:c r="M501" s="48" t="n">
        <x:v>0</x:v>
      </x:c>
      <x:c r="N501" s="48" t="n">
        <x:v>0.42</x:v>
      </x:c>
      <x:c r="O501" s="48" t="n">
        <x:v>0.51</x:v>
      </x:c>
      <x:c r="P501" s="48" t="n">
        <x:v>0.39</x:v>
      </x:c>
      <x:c r="Q501" s="48" t="n">
        <x:v>0.5</x:v>
      </x:c>
      <x:c r="R501" s="31" t="str">
        <x:v>ok</x:v>
      </x:c>
      <x:c r="S501" s="51" t="n">
        <x:v>0.9999910593032837</x:v>
      </x:c>
      <x:c r="T501" s="31" t="str">
        <x:v>https://mp.weixin.qq.com/s?__biz=MzUxOTMxNjk0OQ==&amp;mid=2247507204&amp;idx=1&amp;sn=8d63f22b9ed22b774fbf3430c8e5db49&amp;chksm=f9f9e9bece8e60a852e7b620d5b01f1cb323149f97c54225ce6b23b7a4c59ca8ca087b04c66c#rd</x:v>
      </x:c>
    </x:row>
    <x:row r="502">
      <x:c r="A502" s="36" t="d">
        <x:v>2026-05-16T00:00:00.000Z</x:v>
      </x:c>
      <x:c r="B502" s="48" t="n">
        <x:v>116.54</x:v>
      </x:c>
      <x:c r="C502" s="48" t="n">
        <x:v>193.54</x:v>
      </x:c>
      <x:c r="D502" s="48" t="n">
        <x:v>106.29</x:v>
      </x:c>
      <x:c r="E502" s="48" t="n">
        <x:v>115.48</x:v>
      </x:c>
      <x:c r="F502" s="48" t="n">
        <x:v>585</x:v>
      </x:c>
      <x:c r="G502" s="48" t="n">
        <x:v>0</x:v>
      </x:c>
      <x:c r="H502" s="48" t="n">
        <x:v>585</x:v>
      </x:c>
      <x:c r="I502" s="48" t="n">
        <x:v>0</x:v>
      </x:c>
      <x:c r="J502" s="48" t="n">
        <x:v>900</x:v>
      </x:c>
      <x:c r="K502" s="48" t="n">
        <x:v>0</x:v>
      </x:c>
      <x:c r="L502" s="48" t="n">
        <x:v>900</x:v>
      </x:c>
      <x:c r="M502" s="48" t="n">
        <x:v>0</x:v>
      </x:c>
      <x:c r="N502" s="48" t="n">
        <x:v>0.77</x:v>
      </x:c>
      <x:c r="O502" s="48" t="n">
        <x:v>0.41</x:v>
      </x:c>
      <x:c r="P502" s="48" t="n">
        <x:v>0.69</x:v>
      </x:c>
      <x:c r="Q502" s="48" t="n">
        <x:v>0.37</x:v>
      </x:c>
      <x:c r="R502" s="31" t="str">
        <x:v>ok</x:v>
      </x:c>
      <x:c r="S502" s="51" t="n">
        <x:v>0.9999927878379822</x:v>
      </x:c>
      <x:c r="T502" s="31" t="str">
        <x:v>https://mp.weixin.qq.com/s?__biz=MzUxOTMxNjk0OQ==&amp;mid=2247507208&amp;idx=1&amp;sn=9c1ac008eff1bd18002b088fe83daac7&amp;chksm=f9f9e9b2ce8e60a4adeb6fe506ed955580b6c73bb59bd75d33e408fa7313b34e0326613436f1#rd</x:v>
      </x:c>
    </x:row>
    <x:row r="503">
      <x:c r="A503" s="36" t="d">
        <x:v>2026-05-17T00:00:00.000Z</x:v>
      </x:c>
      <x:c r="B503" s="48" t="n">
        <x:v>288.55</x:v>
      </x:c>
      <x:c r="C503" s="48" t="n">
        <x:v>228.07</x:v>
      </x:c>
      <x:c r="D503" s="48" t="n">
        <x:v>200.74</x:v>
      </x:c>
      <x:c r="E503" s="48" t="n">
        <x:v>144.1</x:v>
      </x:c>
      <x:c r="F503" s="48" t="n">
        <x:v>900</x:v>
      </x:c>
      <x:c r="G503" s="48" t="n">
        <x:v>0</x:v>
      </x:c>
      <x:c r="H503" s="48" t="n">
        <x:v>900</x:v>
      </x:c>
      <x:c r="I503" s="48" t="n">
        <x:v>0</x:v>
      </x:c>
      <x:c r="J503" s="48" t="n">
        <x:v>608</x:v>
      </x:c>
      <x:c r="K503" s="48" t="n">
        <x:v>0</x:v>
      </x:c>
      <x:c r="L503" s="48" t="n">
        <x:v>608</x:v>
      </x:c>
      <x:c r="M503" s="48" t="n">
        <x:v>0</x:v>
      </x:c>
      <x:c r="N503" s="48" t="n">
        <x:v>0.34</x:v>
      </x:c>
      <x:c r="O503" s="48" t="n">
        <x:v>0.46</x:v>
      </x:c>
      <x:c r="P503" s="48" t="n">
        <x:v>0.39</x:v>
      </x:c>
      <x:c r="Q503" s="48" t="n">
        <x:v>0.36</x:v>
      </x:c>
      <x:c r="R503" s="31" t="str">
        <x:v>ok</x:v>
      </x:c>
      <x:c r="S503" s="51" t="n">
        <x:v>0.941095769405365</x:v>
      </x:c>
      <x:c r="T503" s="31" t="str">
        <x:v>https://mp.weixin.qq.com/s?__biz=MzUxOTMxNjk0OQ==&amp;mid=2247507212&amp;idx=1&amp;sn=e2b6f3d28fdd7cc53b93ea0b6160e1c1&amp;chksm=f9f9e9b6ce8e60a0346d099a101b2857c33e8b2a889e958e6b90b15c16d3c83eb334c5fcbe1d#rd</x:v>
      </x:c>
    </x:row>
    <x:row r="504">
      <x:c r="A504" s="36" t="d">
        <x:v>2026-05-18T00:00:00.000Z</x:v>
      </x:c>
      <x:c r="B504" s="48" t="n">
        <x:v>264.13</x:v>
      </x:c>
      <x:c r="C504" s="48" t="n">
        <x:v>37.66</x:v>
      </x:c>
      <x:c r="D504" s="48" t="n">
        <x:v>249.57</x:v>
      </x:c>
      <x:c r="E504" s="48" t="n">
        <x:v>41.81</x:v>
      </x:c>
      <x:c r="F504" s="48" t="n">
        <x:v>679</x:v>
      </x:c>
      <x:c r="G504" s="48" t="n">
        <x:v>0</x:v>
      </x:c>
      <x:c r="H504" s="48" t="n">
        <x:v>679</x:v>
      </x:c>
      <x:c r="I504" s="48" t="n">
        <x:v>0</x:v>
      </x:c>
      <x:c r="J504" s="48" t="n">
        <x:v>586</x:v>
      </x:c>
      <x:c r="K504" s="48" t="n">
        <x:v>0</x:v>
      </x:c>
      <x:c r="L504" s="48" t="n">
        <x:v>586</x:v>
      </x:c>
      <x:c r="M504" s="48" t="n">
        <x:v>0</x:v>
      </x:c>
      <x:c r="N504" s="48" t="n">
        <x:v>0.28</x:v>
      </x:c>
      <x:c r="O504" s="48" t="n">
        <x:v>0.8</x:v>
      </x:c>
      <x:c r="P504" s="48" t="n">
        <x:v>0.26</x:v>
      </x:c>
      <x:c r="Q504" s="48" t="n">
        <x:v>0.82</x:v>
      </x:c>
      <x:c r="R504" s="31" t="str">
        <x:v>ok</x:v>
      </x:c>
      <x:c r="S504" s="51" t="n">
        <x:v>0.9994733929634094</x:v>
      </x:c>
      <x:c r="T504" s="31" t="str">
        <x:v>https://mp.weixin.qq.com/s?__biz=MzUxOTMxNjk0OQ==&amp;mid=2247507223&amp;idx=1&amp;sn=1579128fb0f5bfbd894666e78b67a049&amp;chksm=f9f9e9adce8e60bb849e25dc6839c0585bbd8a0d4145acc6560acda2b983853a0ffaa749033b#rd</x:v>
      </x:c>
    </x:row>
    <x:row r="505">
      <x:c r="A505" s="36" t="d">
        <x:v>2026-05-19T00:00:00.000Z</x:v>
      </x:c>
      <x:c r="B505" s="48" t="n">
        <x:v>114.88</x:v>
      </x:c>
      <x:c r="C505" s="48" t="n">
        <x:v>6.65</x:v>
      </x:c>
      <x:c r="D505" s="48" t="n">
        <x:v>76.25</x:v>
      </x:c>
      <x:c r="E505" s="48" t="n">
        <x:v>2.06</x:v>
      </x:c>
      <x:c r="F505" s="48" t="n">
        <x:v>1000</x:v>
      </x:c>
      <x:c r="G505" s="48" t="n">
        <x:v>0</x:v>
      </x:c>
      <x:c r="H505" s="48" t="n">
        <x:v>1000</x:v>
      </x:c>
      <x:c r="I505" s="48" t="n">
        <x:v>0</x:v>
      </x:c>
      <x:c r="J505" s="48" t="n">
        <x:v>682.35</x:v>
      </x:c>
      <x:c r="K505" s="48" t="n">
        <x:v>0</x:v>
      </x:c>
      <x:c r="L505" s="48" t="n">
        <x:v>822.22</x:v>
      </x:c>
      <x:c r="M505" s="48" t="n">
        <x:v>0</x:v>
      </x:c>
      <x:c r="N505" s="48" t="n">
        <x:v>0.62</x:v>
      </x:c>
      <x:c r="O505" s="48" t="n">
        <x:v>0.58</x:v>
      </x:c>
      <x:c r="P505" s="48" t="n">
        <x:v>0.68</x:v>
      </x:c>
      <x:c r="Q505" s="48" t="n">
        <x:v>0.63</x:v>
      </x:c>
      <x:c r="R505" s="31" t="str">
        <x:v>ok</x:v>
      </x:c>
      <x:c r="S505" s="51" t="n">
        <x:v>0.9999656677246094</x:v>
      </x:c>
      <x:c r="T505" s="31" t="str">
        <x:v>https://mp.weixin.qq.com/s?__biz=MzUxOTMxNjk0OQ==&amp;mid=2247507233&amp;idx=1&amp;sn=eb7114bf8d46ea5b23029f5dff230060&amp;chksm=f9f9e99bce8e608d69cfd70ece92369361df0747cd06b66d02b1e1b64a224dec7d140eb98808#rd</x:v>
      </x:c>
    </x:row>
    <x:row r="506">
      <x:c r="A506" s="36" t="d">
        <x:v>2026-05-20T00:00:00.000Z</x:v>
      </x:c>
      <x:c r="B506" s="48" t="n">
        <x:v>9.1</x:v>
      </x:c>
      <x:c r="C506" s="48" t="n">
        <x:v>0.47</x:v>
      </x:c>
      <x:c r="D506" s="48" t="n">
        <x:v>12.93</x:v>
      </x:c>
      <x:c r="E506" s="48" t="n">
        <x:v>0.16</x:v>
      </x:c>
      <x:c r="F506" s="48" t="n">
        <x:v>320</x:v>
      </x:c>
      <x:c r="G506" s="48" t="n">
        <x:v>0</x:v>
      </x:c>
      <x:c r="H506" s="48" t="n">
        <x:v>320</x:v>
      </x:c>
      <x:c r="I506" s="48" t="n">
        <x:v>0</x:v>
      </x:c>
      <x:c r="J506" s="48" t="n">
        <x:v>291</x:v>
      </x:c>
      <x:c r="K506" s="48" t="n">
        <x:v>0</x:v>
      </x:c>
      <x:c r="L506" s="48" t="n">
        <x:v>291</x:v>
      </x:c>
      <x:c r="M506" s="48" t="n">
        <x:v>0</x:v>
      </x:c>
      <x:c r="N506" s="48" t="n">
        <x:v>0.9</x:v>
      </x:c>
      <x:c r="O506" s="48" t="n">
        <x:v>0.53</x:v>
      </x:c>
      <x:c r="P506" s="48" t="n">
        <x:v>0.84</x:v>
      </x:c>
      <x:c r="Q506" s="48" t="n">
        <x:v>0.47</x:v>
      </x:c>
      <x:c r="R506" s="31" t="str">
        <x:v>ok</x:v>
      </x:c>
      <x:c r="S506" s="51" t="n">
        <x:v>0.9999660849571228</x:v>
      </x:c>
      <x:c r="T506" s="31" t="str">
        <x:v>https://mp.weixin.qq.com/s?__biz=MzUxOTMxNjk0OQ==&amp;mid=2247507237&amp;idx=1&amp;sn=112af59d4707b71dac73ed5013c29036&amp;chksm=f9f9e99fce8e608922cbfc7b71da9bfe231fc8e860ccf042991d6fc2eeaf2d9007f543c13301#rd</x:v>
      </x:c>
    </x:row>
    <x:row r="507">
      <x:c r="A507" s="36" t="d">
        <x:v>2026-05-21T00:00:00.000Z</x:v>
      </x:c>
      <x:c r="B507" s="48" t="n">
        <x:v>49.16</x:v>
      </x:c>
      <x:c r="C507" s="48" t="n">
        <x:v>41.2</x:v>
      </x:c>
      <x:c r="D507" s="48" t="n">
        <x:v>35.22</x:v>
      </x:c>
      <x:c r="E507" s="48" t="n">
        <x:v>51.92</x:v>
      </x:c>
      <x:c r="F507" s="48" t="n">
        <x:v>453.02</x:v>
      </x:c>
      <x:c r="G507" s="48" t="n">
        <x:v>0</x:v>
      </x:c>
      <x:c r="H507" s="48" t="n">
        <x:v>563.5</x:v>
      </x:c>
      <x:c r="I507" s="48" t="n">
        <x:v>0</x:v>
      </x:c>
      <x:c r="J507" s="48" t="n">
        <x:v>1000</x:v>
      </x:c>
      <x:c r="K507" s="48" t="n">
        <x:v>0</x:v>
      </x:c>
      <x:c r="L507" s="48" t="n">
        <x:v>1000</x:v>
      </x:c>
      <x:c r="M507" s="48" t="n">
        <x:v>0</x:v>
      </x:c>
      <x:c r="N507" s="48" t="n">
        <x:v>0.8</x:v>
      </x:c>
      <x:c r="O507" s="48" t="n">
        <x:v>0.52</x:v>
      </x:c>
      <x:c r="P507" s="48" t="n">
        <x:v>0.79</x:v>
      </x:c>
      <x:c r="Q507" s="48" t="n">
        <x:v>0.54</x:v>
      </x:c>
      <x:c r="R507" s="31" t="str">
        <x:v>ok</x:v>
      </x:c>
      <x:c r="S507" s="51" t="n">
        <x:v>0.9999786615371704</x:v>
      </x:c>
      <x:c r="T507" s="31" t="str">
        <x:v>https://mp.weixin.qq.com/s?__biz=MzUxOTMxNjk0OQ==&amp;mid=2247507241&amp;idx=1&amp;sn=b8eb4f930b656cc1c131751cd87f105b&amp;chksm=f9f9e993ce8e6085d40742d9d37eb76269930295931eee262234da9213842cec43aaf12941c6#rd</x:v>
      </x:c>
    </x:row>
    <x:row r="508">
      <x:c r="A508" s="36" t="d">
        <x:v>2026-05-22T00:00:00.000Z</x:v>
      </x:c>
      <x:c r="B508" s="48" t="n">
        <x:v>188.16</x:v>
      </x:c>
      <x:c r="C508" s="48" t="n">
        <x:v>13.41</x:v>
      </x:c>
      <x:c r="D508" s="48" t="n">
        <x:v>151.59</x:v>
      </x:c>
      <x:c r="E508" s="48" t="n">
        <x:v>11.72</x:v>
      </x:c>
      <x:c r="F508" s="48" t="n">
        <x:v>1000</x:v>
      </x:c>
      <x:c r="G508" s="48" t="n">
        <x:v>0</x:v>
      </x:c>
      <x:c r="H508" s="48" t="n">
        <x:v>1000</x:v>
      </x:c>
      <x:c r="I508" s="48" t="n">
        <x:v>0</x:v>
      </x:c>
      <x:c r="J508" s="48" t="n">
        <x:v>1000</x:v>
      </x:c>
      <x:c r="K508" s="48" t="n">
        <x:v>0</x:v>
      </x:c>
      <x:c r="L508" s="48" t="n">
        <x:v>1000</x:v>
      </x:c>
      <x:c r="M508" s="48" t="n">
        <x:v>0</x:v>
      </x:c>
      <x:c r="N508" s="48" t="n">
        <x:v>0.22</x:v>
      </x:c>
      <x:c r="O508" s="48" t="n">
        <x:v>0.74</x:v>
      </x:c>
      <x:c r="P508" s="48" t="n">
        <x:v>0.29</x:v>
      </x:c>
      <x:c r="Q508" s="48" t="n">
        <x:v>0.65</x:v>
      </x:c>
      <x:c r="R508" s="31" t="str">
        <x:v>ok</x:v>
      </x:c>
      <x:c r="S508" s="51" t="n">
        <x:v>0.9998435378074646</x:v>
      </x:c>
      <x:c r="T508" s="31" t="str">
        <x:v>https://mp.weixin.qq.com/s?__biz=MzUxOTMxNjk0OQ==&amp;mid=2247507245&amp;idx=1&amp;sn=5baa2cd8719de280bc547b85854bfc21&amp;chksm=f9f9e997ce8e60819cd1c7ee6d992b3854376b6b45f055b5327b59f206ac7a2d178ba1a918c6#rd</x:v>
      </x:c>
    </x:row>
    <x:row r="509">
      <x:c r="A509" s="36" t="d">
        <x:v>2026-05-23T00:00:00.000Z</x:v>
      </x:c>
      <x:c r="B509" s="48" t="n">
        <x:v>25.88</x:v>
      </x:c>
      <x:c r="C509" s="48" t="n">
        <x:v>17.25</x:v>
      </x:c>
      <x:c r="D509" s="48" t="n">
        <x:v>32.33</x:v>
      </x:c>
      <x:c r="E509" s="48" t="n">
        <x:v>7.38</x:v>
      </x:c>
      <x:c r="F509" s="48" t="n">
        <x:v>380</x:v>
      </x:c>
      <x:c r="G509" s="48" t="n">
        <x:v>0</x:v>
      </x:c>
      <x:c r="H509" s="48" t="n">
        <x:v>380</x:v>
      </x:c>
      <x:c r="I509" s="48" t="n">
        <x:v>0</x:v>
      </x:c>
      <x:c r="J509" s="48" t="n">
        <x:v>392</x:v>
      </x:c>
      <x:c r="K509" s="48" t="n">
        <x:v>0</x:v>
      </x:c>
      <x:c r="L509" s="48" t="n">
        <x:v>503.05</x:v>
      </x:c>
      <x:c r="M509" s="48" t="n">
        <x:v>0</x:v>
      </x:c>
      <x:c r="N509" s="48" t="n">
        <x:v>0.69</x:v>
      </x:c>
      <x:c r="O509" s="48" t="n">
        <x:v>0.59</x:v>
      </x:c>
      <x:c r="P509" s="48" t="n">
        <x:v>0.71</x:v>
      </x:c>
      <x:c r="Q509" s="48" t="n">
        <x:v>0.66</x:v>
      </x:c>
      <x:c r="R509" s="31" t="str">
        <x:v>ok</x:v>
      </x:c>
      <x:c r="S509" s="51" t="n">
        <x:v>0.9766416549682617</x:v>
      </x:c>
      <x:c r="T509" s="31" t="str">
        <x:v>https://mp.weixin.qq.com/s?__biz=MzUxOTMxNjk0OQ==&amp;mid=2247507247&amp;idx=1&amp;sn=5ff43d2a41e7ccbe5f9c838d231d6128&amp;chksm=f9f9e995ce8e60832f0d9c4bad005d164b49e693e9747a2d45a87ed504de280bce94dae33fd7#rd</x:v>
      </x:c>
    </x:row>
    <x:row r="510">
      <x:c r="A510" s="36" t="d">
        <x:v>2026-05-24T00:00:00.000Z</x:v>
      </x:c>
      <x:c r="B510" s="48" t="n">
        <x:v>99.25</x:v>
      </x:c>
      <x:c r="C510" s="48" t="n">
        <x:v>41.6</x:v>
      </x:c>
      <x:c r="D510" s="48" t="n">
        <x:v>53.46</x:v>
      </x:c>
      <x:c r="E510" s="48" t="n">
        <x:v>46.59</x:v>
      </x:c>
      <x:c r="F510" s="48" t="n">
        <x:v>261.13</x:v>
      </x:c>
      <x:c r="G510" s="48" t="n">
        <x:v>0</x:v>
      </x:c>
      <x:c r="H510" s="48" t="n">
        <x:v>285.1</x:v>
      </x:c>
      <x:c r="I510" s="48" t="n">
        <x:v>0</x:v>
      </x:c>
      <x:c r="J510" s="48" t="n">
        <x:v>319.93</x:v>
      </x:c>
      <x:c r="K510" s="48" t="n">
        <x:v>0</x:v>
      </x:c>
      <x:c r="L510" s="48" t="n">
        <x:v>399.31</x:v>
      </x:c>
      <x:c r="M510" s="48" t="n">
        <x:v>0</x:v>
      </x:c>
      <x:c r="N510" s="48" t="n">
        <x:v>0.63</x:v>
      </x:c>
      <x:c r="O510" s="48" t="n">
        <x:v>0.55</x:v>
      </x:c>
      <x:c r="P510" s="48" t="n">
        <x:v>0.76</x:v>
      </x:c>
      <x:c r="Q510" s="48" t="n">
        <x:v>0.54</x:v>
      </x:c>
      <x:c r="R510" s="31" t="str">
        <x:v>ok</x:v>
      </x:c>
      <x:c r="S510" s="51" t="n">
        <x:v>0.9999945759773254</x:v>
      </x:c>
      <x:c r="T510" s="31" t="str">
        <x:v>https://mp.weixin.qq.com/s?__biz=MzUxOTMxNjk0OQ==&amp;mid=2247507256&amp;idx=2&amp;sn=c0c30f23ef65d23a948c972336f413fb&amp;chksm=f9f9e982ce8e6094161b3cd152809d584a18ba06ad20bb4f38bc1ebe486ea416d25d953f1182#rd</x:v>
      </x:c>
    </x:row>
    <x:row r="511">
      <x:c r="A511" s="36" t="d">
        <x:v>2026-05-25T00:00:00.000Z</x:v>
      </x:c>
      <x:c r="B511" s="48" t="n">
        <x:v>169.61</x:v>
      </x:c>
      <x:c r="C511" s="48" t="n">
        <x:v>77.93</x:v>
      </x:c>
      <x:c r="D511" s="48" t="n">
        <x:v>61.5</x:v>
      </x:c>
      <x:c r="E511" s="48" t="n">
        <x:v>52.83</x:v>
      </x:c>
      <x:c r="F511" s="48" t="n">
        <x:v>494</x:v>
      </x:c>
      <x:c r="G511" s="48" t="n">
        <x:v>0</x:v>
      </x:c>
      <x:c r="H511" s="48" t="n">
        <x:v>494</x:v>
      </x:c>
      <x:c r="I511" s="48" t="n">
        <x:v>0</x:v>
      </x:c>
      <x:c r="J511" s="48" t="n">
        <x:v>529</x:v>
      </x:c>
      <x:c r="K511" s="48" t="n">
        <x:v>0</x:v>
      </x:c>
      <x:c r="L511" s="48" t="n">
        <x:v>529</x:v>
      </x:c>
      <x:c r="M511" s="48" t="n">
        <x:v>0</x:v>
      </x:c>
      <x:c r="N511" s="48" t="n">
        <x:v>0.59</x:v>
      </x:c>
      <x:c r="O511" s="48" t="n">
        <x:v>0.55</x:v>
      </x:c>
      <x:c r="P511" s="48" t="n">
        <x:v>0.58</x:v>
      </x:c>
      <x:c r="Q511" s="48" t="n">
        <x:v>0.5</x:v>
      </x:c>
      <x:c r="R511" s="31" t="str">
        <x:v>ok</x:v>
      </x:c>
      <x:c r="S511" s="51" t="n">
        <x:v>0.9648585319519043</x:v>
      </x:c>
      <x:c r="T511" s="31" t="str">
        <x:v>https://mp.weixin.qq.com/s?__biz=MzUxOTMxNjk0OQ==&amp;mid=2247507260&amp;idx=1&amp;sn=6fdcbbe5d7d4b9cbb58efb3c2777418d&amp;chksm=f9f9e986ce8e609034932b13cc986795ef9ea9817e229c9576d8ea62d42dd7c4d49b92ffc124#rd</x:v>
      </x:c>
    </x:row>
    <x:row r="512">
      <x:c r="A512" s="36" t="d">
        <x:v>2026-05-26T00:00:00.000Z</x:v>
      </x:c>
      <x:c r="B512" s="48" t="n">
        <x:v>218.55</x:v>
      </x:c>
      <x:c r="C512" s="48" t="n">
        <x:v>69.77</x:v>
      </x:c>
      <x:c r="D512" s="48" t="n">
        <x:v>180.5</x:v>
      </x:c>
      <x:c r="E512" s="48" t="n">
        <x:v>40.13</x:v>
      </x:c>
      <x:c r="F512" s="48" t="n">
        <x:v>458</x:v>
      </x:c>
      <x:c r="G512" s="48" t="n">
        <x:v>0</x:v>
      </x:c>
      <x:c r="H512" s="48" t="n">
        <x:v>458</x:v>
      </x:c>
      <x:c r="I512" s="48" t="n">
        <x:v>0</x:v>
      </x:c>
      <x:c r="J512" s="48" t="n">
        <x:v>549</x:v>
      </x:c>
      <x:c r="K512" s="48" t="n">
        <x:v>0</x:v>
      </x:c>
      <x:c r="L512" s="48" t="n">
        <x:v>549</x:v>
      </x:c>
      <x:c r="M512" s="48" t="n">
        <x:v>0</x:v>
      </x:c>
      <x:c r="N512" s="48" t="n">
        <x:v>0.2</x:v>
      </x:c>
      <x:c r="O512" s="48" t="n">
        <x:v>0.69</x:v>
      </x:c>
      <x:c r="P512" s="48" t="n">
        <x:v>0.24</x:v>
      </x:c>
      <x:c r="Q512" s="48" t="n">
        <x:v>0.63</x:v>
      </x:c>
      <x:c r="R512" s="31" t="str">
        <x:v>ok</x:v>
      </x:c>
      <x:c r="S512" s="51" t="n">
        <x:v>0.9999256134033203</x:v>
      </x:c>
      <x:c r="T512" s="31" t="str">
        <x:v>https://mp.weixin.qq.com/s?__biz=MzUxOTMxNjk0OQ==&amp;mid=2247507265&amp;idx=1&amp;sn=5a098bf46dde86ad004298dcb10bda5a&amp;chksm=f9f9e9fbce8e60ed6f37ab1cea8d51cc7698c2d97810f3b396590a1f433e48b7ff36ac48f5f9#rd</x:v>
      </x:c>
    </x:row>
    <x:row r="513">
      <x:c r="A513" s="36" t="d">
        <x:v>2026-05-27T00:00:00.000Z</x:v>
      </x:c>
      <x:c r="B513" s="48" t="n">
        <x:v>126.72</x:v>
      </x:c>
      <x:c r="C513" s="48" t="n">
        <x:v>15.37</x:v>
      </x:c>
      <x:c r="D513" s="48" t="n">
        <x:v>136.2</x:v>
      </x:c>
      <x:c r="E513" s="48" t="n">
        <x:v>52.27</x:v>
      </x:c>
      <x:c r="F513" s="48" t="n">
        <x:v>348</x:v>
      </x:c>
      <x:c r="G513" s="48" t="n">
        <x:v>0</x:v>
      </x:c>
      <x:c r="H513" s="48" t="n">
        <x:v>348</x:v>
      </x:c>
      <x:c r="I513" s="48" t="n">
        <x:v>0</x:v>
      </x:c>
      <x:c r="J513" s="48" t="n">
        <x:v>360</x:v>
      </x:c>
      <x:c r="K513" s="48" t="n">
        <x:v>0</x:v>
      </x:c>
      <x:c r="L513" s="48" t="n">
        <x:v>360</x:v>
      </x:c>
      <x:c r="M513" s="48" t="n">
        <x:v>0</x:v>
      </x:c>
      <x:c r="N513" s="48" t="n">
        <x:v>0.49</x:v>
      </x:c>
      <x:c r="O513" s="48" t="n">
        <x:v>0.51</x:v>
      </x:c>
      <x:c r="P513" s="48" t="n">
        <x:v>0.46</x:v>
      </x:c>
      <x:c r="Q513" s="48" t="n">
        <x:v>0.59</x:v>
      </x:c>
      <x:c r="R513" s="31" t="str">
        <x:v>ok</x:v>
      </x:c>
      <x:c r="S513" s="51" t="n">
        <x:v>0.9999939203262329</x:v>
      </x:c>
      <x:c r="T513" s="31" t="str">
        <x:v>https://mp.weixin.qq.com/s?__biz=MzUxOTMxNjk0OQ==&amp;mid=2247507271&amp;idx=1&amp;sn=6164d45b2a5fb4f1da186b3180f1238c&amp;chksm=f9f9e9fdce8e60ebe126aa636b5b69dfbe98b7f082e4ceb909957dd76242b5bf81c4f9b159e7#rd</x:v>
      </x:c>
    </x:row>
    <x:row r="514">
      <x:c r="A514" s="36" t="d">
        <x:v>2026-05-28T00:00:00.000Z</x:v>
      </x:c>
      <x:c r="B514" s="48" t="n">
        <x:v>204.47</x:v>
      </x:c>
      <x:c r="C514" s="48" t="n">
        <x:v>35.26</x:v>
      </x:c>
      <x:c r="D514" s="48" t="n">
        <x:v>188.69</x:v>
      </x:c>
      <x:c r="E514" s="48" t="n">
        <x:v>33.15</x:v>
      </x:c>
      <x:c r="F514" s="48" t="n">
        <x:v>448</x:v>
      </x:c>
      <x:c r="G514" s="48" t="n">
        <x:v>0</x:v>
      </x:c>
      <x:c r="H514" s="48" t="n">
        <x:v>448</x:v>
      </x:c>
      <x:c r="I514" s="48" t="n">
        <x:v>0</x:v>
      </x:c>
      <x:c r="J514" s="48" t="n">
        <x:v>482</x:v>
      </x:c>
      <x:c r="K514" s="48" t="n">
        <x:v>0</x:v>
      </x:c>
      <x:c r="L514" s="48" t="n">
        <x:v>482</x:v>
      </x:c>
      <x:c r="M514" s="48" t="n">
        <x:v>0</x:v>
      </x:c>
      <x:c r="N514" s="48" t="n">
        <x:v>0.29</x:v>
      </x:c>
      <x:c r="O514" s="48" t="n">
        <x:v>0.62</x:v>
      </x:c>
      <x:c r="P514" s="48" t="n">
        <x:v>0.33</x:v>
      </x:c>
      <x:c r="Q514" s="48" t="n">
        <x:v>0.71</x:v>
      </x:c>
      <x:c r="R514" s="31" t="str">
        <x:v>ok</x:v>
      </x:c>
      <x:c r="S514" s="51" t="n">
        <x:v>0.9999846816062927</x:v>
      </x:c>
      <x:c r="T514" s="31" t="str">
        <x:v>https://mp.weixin.qq.com/s?__biz=MzUxOTMxNjk0OQ==&amp;mid=2247507273&amp;idx=1&amp;sn=ab37feb68ac0f2fc74f09db9fe71d4e1&amp;chksm=f9f9e9f3ce8e60e590e68154bb9ac87e4c2bd8b1b5c02922246cf6ea17eef734f96993a3b618#rd</x:v>
      </x:c>
    </x:row>
    <x:row r="515">
      <x:c r="A515" s="36" t="d">
        <x:v>2026-05-29T00:00:00.000Z</x:v>
      </x:c>
      <x:c r="B515" s="48" t="n">
        <x:v>254.45</x:v>
      </x:c>
      <x:c r="C515" s="48" t="n">
        <x:v>27.46</x:v>
      </x:c>
      <x:c r="D515" s="48" t="n">
        <x:v>249.18</x:v>
      </x:c>
      <x:c r="E515" s="48" t="n">
        <x:v>32.14</x:v>
      </x:c>
      <x:c r="F515" s="48" t="n">
        <x:v>449</x:v>
      </x:c>
      <x:c r="G515" s="48" t="n">
        <x:v>0</x:v>
      </x:c>
      <x:c r="H515" s="48" t="n">
        <x:v>449</x:v>
      </x:c>
      <x:c r="I515" s="48" t="n">
        <x:v>0</x:v>
      </x:c>
      <x:c r="J515" s="48" t="n">
        <x:v>530</x:v>
      </x:c>
      <x:c r="K515" s="48" t="n">
        <x:v>0</x:v>
      </x:c>
      <x:c r="L515" s="48" t="n">
        <x:v>530</x:v>
      </x:c>
      <x:c r="M515" s="48" t="n">
        <x:v>0</x:v>
      </x:c>
      <x:c r="N515" s="48" t="n">
        <x:v>0.09</x:v>
      </x:c>
      <x:c r="O515" s="48" t="n">
        <x:v>0.52</x:v>
      </x:c>
      <x:c r="P515" s="48" t="n">
        <x:v>0.08</x:v>
      </x:c>
      <x:c r="Q515" s="48" t="n">
        <x:v>0.76</x:v>
      </x:c>
      <x:c r="R515" s="31" t="str">
        <x:v>ok</x:v>
      </x:c>
      <x:c r="S515" s="51" t="n">
        <x:v>0.9999960064888</x:v>
      </x:c>
      <x:c r="T515" s="31" t="str">
        <x:v>https://mp.weixin.qq.com/s?__biz=MzUxOTMxNjk0OQ==&amp;mid=2247507322&amp;idx=1&amp;sn=819f9604a25db636a25d036c9913995f&amp;chksm=f9f9e9c0ce8e60d606003acc26a5fe2e5d3c76530e2660f55e99f55bf4922fe8ceec130b24af#rd</x:v>
      </x:c>
    </x:row>
    <x:row r="516">
      <x:c r="A516" s="36" t="d">
        <x:v>2026-05-30T00:00:00.000Z</x:v>
      </x:c>
      <x:c r="B516" s="48" t="n">
        <x:v>140.89</x:v>
      </x:c>
      <x:c r="C516" s="48" t="n">
        <x:v>18.91</x:v>
      </x:c>
      <x:c r="D516" s="48" t="n">
        <x:v>125.49</x:v>
      </x:c>
      <x:c r="E516" s="48" t="n">
        <x:v>15.43</x:v>
      </x:c>
      <x:c r="F516" s="48" t="n">
        <x:v>800</x:v>
      </x:c>
      <x:c r="G516" s="48" t="n">
        <x:v>0</x:v>
      </x:c>
      <x:c r="H516" s="48" t="n">
        <x:v>800</x:v>
      </x:c>
      <x:c r="I516" s="48" t="n">
        <x:v>0</x:v>
      </x:c>
      <x:c r="J516" s="48" t="n">
        <x:v>310</x:v>
      </x:c>
      <x:c r="K516" s="48" t="n">
        <x:v>0</x:v>
      </x:c>
      <x:c r="L516" s="48" t="n">
        <x:v>310</x:v>
      </x:c>
      <x:c r="M516" s="48" t="n">
        <x:v>0</x:v>
      </x:c>
      <x:c r="N516" s="48" t="n">
        <x:v>0.27</x:v>
      </x:c>
      <x:c r="O516" s="48" t="n">
        <x:v>0.52</x:v>
      </x:c>
      <x:c r="P516" s="48" t="n">
        <x:v>0.38</x:v>
      </x:c>
      <x:c r="Q516" s="48" t="n">
        <x:v>0.62</x:v>
      </x:c>
      <x:c r="R516" s="31" t="str">
        <x:v>ok</x:v>
      </x:c>
      <x:c r="S516" s="51" t="n">
        <x:v>0.9999961853027344</x:v>
      </x:c>
      <x:c r="T516" s="31" t="str">
        <x:v>https://mp.weixin.qq.com/s?__biz=MzUxOTMxNjk0OQ==&amp;mid=2247507326&amp;idx=1&amp;sn=4dab79eb49cd93c1af2e88cf3566fd08&amp;chksm=f9f9e9c4ce8e60d25fcb4c844ec6890aeee52066a6baef0b76837836488c7a874b5993f947a5#rd</x:v>
      </x:c>
    </x:row>
    <x:row r="517">
      <x:c r="A517" s="36" t="d">
        <x:v>2026-05-31T00:00:00.000Z</x:v>
      </x:c>
      <x:c r="B517" s="48" t="n">
        <x:v>45.92</x:v>
      </x:c>
      <x:c r="C517" s="48" t="n">
        <x:v>3.91</x:v>
      </x:c>
      <x:c r="D517" s="48" t="n">
        <x:v>57.5</x:v>
      </x:c>
      <x:c r="E517" s="48" t="n">
        <x:v>7.84</x:v>
      </x:c>
      <x:c r="F517" s="48" t="n">
        <x:v>690</x:v>
      </x:c>
      <x:c r="G517" s="48" t="n">
        <x:v>0</x:v>
      </x:c>
      <x:c r="H517" s="48" t="n">
        <x:v>690</x:v>
      </x:c>
      <x:c r="I517" s="48" t="n">
        <x:v>0</x:v>
      </x:c>
      <x:c r="J517" s="48" t="n">
        <x:v>372</x:v>
      </x:c>
      <x:c r="K517" s="48" t="n">
        <x:v>0</x:v>
      </x:c>
      <x:c r="L517" s="48" t="n">
        <x:v>372</x:v>
      </x:c>
      <x:c r="M517" s="48" t="n">
        <x:v>0</x:v>
      </x:c>
      <x:c r="N517" s="48" t="n">
        <x:v>0.46</x:v>
      </x:c>
      <x:c r="O517" s="48" t="n">
        <x:v>0.48</x:v>
      </x:c>
      <x:c r="P517" s="48" t="n">
        <x:v>0.48</x:v>
      </x:c>
      <x:c r="Q517" s="48" t="n">
        <x:v>0.74</x:v>
      </x:c>
      <x:c r="R517" s="31" t="str">
        <x:v>ok</x:v>
      </x:c>
      <x:c r="S517" s="51" t="n">
        <x:v>0.999995768070221</x:v>
      </x:c>
      <x:c r="T517" s="31" t="str">
        <x:v>https://mp.weixin.qq.com/s?__biz=MzUxOTMxNjk0OQ==&amp;mid=2247507345&amp;idx=1&amp;sn=ce70ea9bbf5aa27b7d3b56816cfc7425&amp;chksm=f9f9e92bce8e603d9068d282ed483640fead0895f760874b7d54ffb59aaba69f7f7e6634b48c#rd</x:v>
      </x:c>
    </x:row>
    <x:row r="518">
      <x:c r="A518" s="36" t="d">
        <x:v>2026-06-01T00:00:00.000Z</x:v>
      </x:c>
      <x:c r="B518" s="48" t="n">
        <x:v>109.94</x:v>
      </x:c>
      <x:c r="C518" s="48" t="n">
        <x:v>13.77</x:v>
      </x:c>
      <x:c r="D518" s="48" t="n">
        <x:v>102.31</x:v>
      </x:c>
      <x:c r="E518" s="48" t="n">
        <x:v>19.52</x:v>
      </x:c>
      <x:c r="F518" s="48" t="n">
        <x:v>389</x:v>
      </x:c>
      <x:c r="G518" s="48" t="n">
        <x:v>0</x:v>
      </x:c>
      <x:c r="H518" s="48" t="n">
        <x:v>389</x:v>
      </x:c>
      <x:c r="I518" s="48" t="n">
        <x:v>0</x:v>
      </x:c>
      <x:c r="J518" s="48" t="n">
        <x:v>364</x:v>
      </x:c>
      <x:c r="K518" s="48" t="n">
        <x:v>0</x:v>
      </x:c>
      <x:c r="L518" s="48" t="n">
        <x:v>364</x:v>
      </x:c>
      <x:c r="M518" s="48" t="n">
        <x:v>0</x:v>
      </x:c>
      <x:c r="N518" s="48" t="n">
        <x:v>0.3</x:v>
      </x:c>
      <x:c r="O518" s="48" t="n">
        <x:v>0.61</x:v>
      </x:c>
      <x:c r="P518" s="48" t="n">
        <x:v>0.31</x:v>
      </x:c>
      <x:c r="Q518" s="48" t="n">
        <x:v>0.82</x:v>
      </x:c>
      <x:c r="R518" s="31" t="str">
        <x:v>ok</x:v>
      </x:c>
      <x:c r="S518" s="51" t="n">
        <x:v>0.999995231628418</x:v>
      </x:c>
      <x:c r="T518" s="31" t="str">
        <x:v>https://mp.weixin.qq.com/s?__biz=MzUxOTMxNjk0OQ==&amp;mid=2247507372&amp;idx=1&amp;sn=f0fb30fed2a5288fa57043ac4b63c76e&amp;chksm=f9f9e916ce8e600072c906b5e0b806e47fd5fc840270a9e53a9e84286ecbcc0cf52c635c6d4e#rd</x:v>
      </x:c>
    </x:row>
    <x:row r="519">
      <x:c r="A519" s="36" t="d">
        <x:v>2026-06-02T00:00:00.000Z</x:v>
      </x:c>
      <x:c r="B519" s="48" t="n">
        <x:v>82.22</x:v>
      </x:c>
      <x:c r="C519" s="48" t="n">
        <x:v>34.57</x:v>
      </x:c>
      <x:c r="D519" s="48" t="n">
        <x:v>87.53</x:v>
      </x:c>
      <x:c r="E519" s="48" t="n">
        <x:v>43.73</x:v>
      </x:c>
      <x:c r="F519" s="48" t="n">
        <x:v>481.96</x:v>
      </x:c>
      <x:c r="G519" s="48" t="n">
        <x:v>0</x:v>
      </x:c>
      <x:c r="H519" s="48" t="n">
        <x:v>482.96</x:v>
      </x:c>
      <x:c r="I519" s="48" t="n">
        <x:v>0</x:v>
      </x:c>
      <x:c r="J519" s="48" t="n">
        <x:v>1000</x:v>
      </x:c>
      <x:c r="K519" s="48" t="n">
        <x:v>0</x:v>
      </x:c>
      <x:c r="L519" s="48" t="n">
        <x:v>1000</x:v>
      </x:c>
      <x:c r="M519" s="48" t="n">
        <x:v>0</x:v>
      </x:c>
      <x:c r="N519" s="48" t="n">
        <x:v>0.47</x:v>
      </x:c>
      <x:c r="O519" s="48" t="n">
        <x:v>0.71</x:v>
      </x:c>
      <x:c r="P519" s="48" t="n">
        <x:v>0.47</x:v>
      </x:c>
      <x:c r="Q519" s="48" t="n">
        <x:v>0.76</x:v>
      </x:c>
      <x:c r="R519" s="31" t="str">
        <x:v>ok</x:v>
      </x:c>
      <x:c r="S519" s="51" t="n">
        <x:v>0.9999761581420898</x:v>
      </x:c>
      <x:c r="T519" s="31" t="str">
        <x:v>https://mp.weixin.qq.com/s?__biz=MzUxOTMxNjk0OQ==&amp;mid=2247507382&amp;idx=1&amp;sn=c6c1a9fb4a2fb98de0544065b9d8027f&amp;chksm=f9f9e90cce8e601ae1f26ef857b59bda3fa74c70782ce73e188ee2a1337b69ef10901189bc06#rd</x:v>
      </x:c>
    </x:row>
    <x:row r="520">
      <x:c r="A520" s="36" t="d">
        <x:v>2026-06-03T00:00:00.000Z</x:v>
      </x:c>
      <x:c r="B520" s="48" t="n">
        <x:v>65.44</x:v>
      </x:c>
      <x:c r="C520" s="48" t="n">
        <x:v>2.53</x:v>
      </x:c>
      <x:c r="D520" s="48" t="n">
        <x:v>150.57</x:v>
      </x:c>
      <x:c r="E520" s="48" t="n">
        <x:v>14.18</x:v>
      </x:c>
      <x:c r="F520" s="48" t="n">
        <x:v>583.36</x:v>
      </x:c>
      <x:c r="G520" s="48" t="n">
        <x:v>0</x:v>
      </x:c>
      <x:c r="H520" s="48" t="n">
        <x:v>585.1</x:v>
      </x:c>
      <x:c r="I520" s="48" t="n">
        <x:v>0</x:v>
      </x:c>
      <x:c r="J520" s="48" t="n">
        <x:v>1000</x:v>
      </x:c>
      <x:c r="K520" s="48" t="n">
        <x:v>0</x:v>
      </x:c>
      <x:c r="L520" s="48" t="n">
        <x:v>1000</x:v>
      </x:c>
      <x:c r="M520" s="48" t="n">
        <x:v>0</x:v>
      </x:c>
      <x:c r="N520" s="48" t="n">
        <x:v>0.61</x:v>
      </x:c>
      <x:c r="O520" s="48" t="n">
        <x:v>0.62</x:v>
      </x:c>
      <x:c r="P520" s="48" t="n">
        <x:v>0.57</x:v>
      </x:c>
      <x:c r="Q520" s="48" t="n">
        <x:v>0.68</x:v>
      </x:c>
      <x:c r="R520" s="31" t="str">
        <x:v>ok</x:v>
      </x:c>
      <x:c r="S520" s="51" t="n">
        <x:v>0.999977707862854</x:v>
      </x:c>
      <x:c r="T520" s="31" t="str">
        <x:v>https://mp.weixin.qq.com/s?__biz=MzUxOTMxNjk0OQ==&amp;mid=2247507391&amp;idx=1&amp;sn=952d72be9e6465a02b729806c9fbb6a3&amp;chksm=f9f9e905ce8e6013e693790efc9e510f55ca29ca74d320485025c19ad47cc0aef4387923b3da#rd</x:v>
      </x:c>
    </x:row>
    <x:row r="521">
      <x:c r="A521" s="36" t="d">
        <x:v>2026-06-04T00:00:00.000Z</x:v>
      </x:c>
      <x:c r="B521" s="48" t="n">
        <x:v>252.22</x:v>
      </x:c>
      <x:c r="C521" s="48" t="n">
        <x:v>26.5</x:v>
      </x:c>
      <x:c r="D521" s="48" t="n">
        <x:v>272.04</x:v>
      </x:c>
      <x:c r="E521" s="48" t="n">
        <x:v>44.7</x:v>
      </x:c>
      <x:c r="F521" s="48" t="n">
        <x:v>600</x:v>
      </x:c>
      <x:c r="G521" s="48" t="n">
        <x:v>0</x:v>
      </x:c>
      <x:c r="H521" s="48" t="n">
        <x:v>601.64</x:v>
      </x:c>
      <x:c r="I521" s="48" t="n">
        <x:v>0</x:v>
      </x:c>
      <x:c r="J521" s="48" t="n">
        <x:v>700</x:v>
      </x:c>
      <x:c r="K521" s="48" t="n">
        <x:v>0</x:v>
      </x:c>
      <x:c r="L521" s="48" t="n">
        <x:v>700</x:v>
      </x:c>
      <x:c r="M521" s="48" t="n">
        <x:v>0</x:v>
      </x:c>
      <x:c r="N521" s="48" t="n">
        <x:v>0.25</x:v>
      </x:c>
      <x:c r="O521" s="48" t="n">
        <x:v>0.81</x:v>
      </x:c>
      <x:c r="P521" s="48" t="n">
        <x:v>0.24</x:v>
      </x:c>
      <x:c r="Q521" s="48" t="n">
        <x:v>0.91</x:v>
      </x:c>
      <x:c r="R521" s="31" t="str">
        <x:v>ok</x:v>
      </x:c>
      <x:c r="S521" s="51" t="n">
        <x:v>0.999995768070221</x:v>
      </x:c>
      <x:c r="T521" s="31" t="str">
        <x:v>https://mp.weixin.qq.com/s?__biz=MzUxOTMxNjk0OQ==&amp;mid=2247507399&amp;idx=1&amp;sn=a899e0cedbc9c627e92dc566cd85c1b4&amp;chksm=f9f9e97dce8e606bcaaae5fef5ec4ee26f9c9aba136f57067357cfdda6ddf02ef505197daaa3#rd</x:v>
      </x:c>
    </x:row>
    <x:row r="522">
      <x:c r="A522" s="36" t="d">
        <x:v>2026-06-05T00:00:00.000Z</x:v>
      </x:c>
      <x:c r="B522" s="48" t="n">
        <x:v>171.14</x:v>
      </x:c>
      <x:c r="C522" s="48" t="n">
        <x:v>17.74</x:v>
      </x:c>
      <x:c r="D522" s="48" t="n">
        <x:v>154.34</x:v>
      </x:c>
      <x:c r="E522" s="48" t="n">
        <x:v>36.84</x:v>
      </x:c>
      <x:c r="F522" s="48" t="n">
        <x:v>460</x:v>
      </x:c>
      <x:c r="G522" s="48" t="n">
        <x:v>0</x:v>
      </x:c>
      <x:c r="H522" s="48" t="n">
        <x:v>460</x:v>
      </x:c>
      <x:c r="I522" s="48" t="n">
        <x:v>0</x:v>
      </x:c>
      <x:c r="J522" s="48" t="n">
        <x:v>604.32</x:v>
      </x:c>
      <x:c r="K522" s="48" t="n">
        <x:v>0</x:v>
      </x:c>
      <x:c r="L522" s="48" t="n">
        <x:v>1000</x:v>
      </x:c>
      <x:c r="M522" s="48" t="n">
        <x:v>0</x:v>
      </x:c>
      <x:c r="N522" s="48" t="n">
        <x:v>0.57</x:v>
      </x:c>
      <x:c r="O522" s="48" t="n">
        <x:v>0.77</x:v>
      </x:c>
      <x:c r="P522" s="48" t="n">
        <x:v>0.53</x:v>
      </x:c>
      <x:c r="Q522" s="48" t="n">
        <x:v>0.86</x:v>
      </x:c>
      <x:c r="R522" s="31" t="str">
        <x:v>ok</x:v>
      </x:c>
      <x:c r="S522" s="51" t="n">
        <x:v>0.9999852776527405</x:v>
      </x:c>
      <x:c r="T522" s="31" t="str">
        <x:v>https://mp.weixin.qq.com/s?__biz=MzUxOTMxNjk0OQ==&amp;mid=2247507410&amp;idx=1&amp;sn=c0bd7b8a48f360371d5cc3c26ae0d89e&amp;chksm=f9f9e968ce8e607ea07e53a3ddf712e292170b75b82f4029270b0071aea46762ee6de00f8244#rd</x:v>
      </x:c>
    </x:row>
    <x:row r="523">
      <x:c r="A523" s="36" t="d">
        <x:v>2026-06-06T00:00:00.000Z</x:v>
      </x:c>
      <x:c r="B523" s="48" t="n">
        <x:v>172.3</x:v>
      </x:c>
      <x:c r="C523" s="48" t="n">
        <x:v>62.4</x:v>
      </x:c>
      <x:c r="D523" s="48" t="n">
        <x:v>149.95</x:v>
      </x:c>
      <x:c r="E523" s="48" t="n">
        <x:v>79.39</x:v>
      </x:c>
      <x:c r="F523" s="48" t="n">
        <x:v>755.67</x:v>
      </x:c>
      <x:c r="G523" s="48" t="n">
        <x:v>0</x:v>
      </x:c>
      <x:c r="H523" s="48" t="n">
        <x:v>755.67</x:v>
      </x:c>
      <x:c r="I523" s="48" t="n">
        <x:v>0</x:v>
      </x:c>
      <x:c r="J523" s="48" t="n">
        <x:v>730.65</x:v>
      </x:c>
      <x:c r="K523" s="48" t="n">
        <x:v>0</x:v>
      </x:c>
      <x:c r="L523" s="48" t="n">
        <x:v>1000</x:v>
      </x:c>
      <x:c r="M523" s="48" t="n">
        <x:v>0</x:v>
      </x:c>
      <x:c r="N523" s="48" t="n">
        <x:v>0.57</x:v>
      </x:c>
      <x:c r="O523" s="48" t="n">
        <x:v>0.76</x:v>
      </x:c>
      <x:c r="P523" s="48" t="n">
        <x:v>0.53</x:v>
      </x:c>
      <x:c r="Q523" s="48" t="n">
        <x:v>0.65</x:v>
      </x:c>
      <x:c r="R523" s="31" t="str">
        <x:v>ok</x:v>
      </x:c>
      <x:c r="S523" s="51" t="n">
        <x:v>0.9999865293502808</x:v>
      </x:c>
      <x:c r="T523" s="31" t="str">
        <x:v>https://mp.weixin.qq.com/s?__biz=MzUxOTMxNjk0OQ==&amp;mid=2247507416&amp;idx=1&amp;sn=7efff57455ebee34e86bad659fdadfba&amp;chksm=f9f9e962ce8e6074a7f84df775274fa6c943e67b6e30cb2227a68bf6b456f906b253d2150280#rd</x:v>
      </x:c>
    </x:row>
    <x:row r="524">
      <x:c r="A524" s="36" t="d">
        <x:v>2026-06-07T00:00:00.000Z</x:v>
      </x:c>
      <x:c r="B524" s="48" t="n">
        <x:v>282.09</x:v>
      </x:c>
      <x:c r="C524" s="48" t="n">
        <x:v>41.42</x:v>
      </x:c>
      <x:c r="D524" s="48" t="n">
        <x:v>225.4</x:v>
      </x:c>
      <x:c r="E524" s="48" t="n">
        <x:v>35.34</x:v>
      </x:c>
      <x:c r="F524" s="48" t="n">
        <x:v>1000</x:v>
      </x:c>
      <x:c r="G524" s="48" t="n">
        <x:v>0</x:v>
      </x:c>
      <x:c r="H524" s="48" t="n">
        <x:v>1000</x:v>
      </x:c>
      <x:c r="I524" s="48" t="n">
        <x:v>0</x:v>
      </x:c>
      <x:c r="J524" s="48" t="n">
        <x:v>1000</x:v>
      </x:c>
      <x:c r="K524" s="48" t="n">
        <x:v>0</x:v>
      </x:c>
      <x:c r="L524" s="48" t="n">
        <x:v>1000</x:v>
      </x:c>
      <x:c r="M524" s="48" t="n">
        <x:v>0</x:v>
      </x:c>
      <x:c r="N524" s="48" t="n">
        <x:v>0.18</x:v>
      </x:c>
      <x:c r="O524" s="48" t="n">
        <x:v>0.82</x:v>
      </x:c>
      <x:c r="P524" s="48" t="n">
        <x:v>0.15</x:v>
      </x:c>
      <x:c r="Q524" s="48" t="n">
        <x:v>0.72</x:v>
      </x:c>
      <x:c r="R524" s="31" t="str">
        <x:v>ok</x:v>
      </x:c>
      <x:c r="S524" s="51" t="n">
        <x:v>0.9999799728393555</x:v>
      </x:c>
      <x:c r="T524" s="31" t="str">
        <x:v>https://mp.weixin.qq.com/s?__biz=MzUxOTMxNjk0OQ==&amp;mid=2247507427&amp;idx=1&amp;sn=133e806ca81eb7618f952951484dbbfe&amp;chksm=f9f9e959ce8e604f0b3a1950c9f4e80bbb970ee8c449e43ecde31261748c3b05a15845055ff1#rd</x:v>
      </x:c>
    </x:row>
    <x:row r="525">
      <x:c r="A525" s="36" t="d">
        <x:v>2026-06-08T00:00:00.000Z</x:v>
      </x:c>
      <x:c r="B525" s="48" t="n">
        <x:v>125.36</x:v>
      </x:c>
      <x:c r="C525" s="48" t="n">
        <x:v>5.41</x:v>
      </x:c>
      <x:c r="D525" s="48" t="n">
        <x:v>115.24</x:v>
      </x:c>
      <x:c r="E525" s="48" t="n">
        <x:v>4.17</x:v>
      </x:c>
      <x:c r="F525" s="48" t="n">
        <x:v>727.04</x:v>
      </x:c>
      <x:c r="G525" s="48" t="n">
        <x:v>0</x:v>
      </x:c>
      <x:c r="H525" s="48" t="n">
        <x:v>730.7</x:v>
      </x:c>
      <x:c r="I525" s="48" t="n">
        <x:v>0</x:v>
      </x:c>
      <x:c r="J525" s="48" t="n">
        <x:v>750</x:v>
      </x:c>
      <x:c r="K525" s="48" t="n">
        <x:v>0</x:v>
      </x:c>
      <x:c r="L525" s="48" t="n">
        <x:v>754.31</x:v>
      </x:c>
      <x:c r="M525" s="48" t="n">
        <x:v>0</x:v>
      </x:c>
      <x:c r="N525" s="48" t="n">
        <x:v>0.32</x:v>
      </x:c>
      <x:c r="O525" s="48" t="n">
        <x:v>0.66</x:v>
      </x:c>
      <x:c r="P525" s="48" t="n">
        <x:v>0.33</x:v>
      </x:c>
      <x:c r="Q525" s="48" t="n">
        <x:v>0.77</x:v>
      </x:c>
      <x:c r="R525" s="31" t="str">
        <x:v>ok</x:v>
      </x:c>
      <x:c r="S525" s="51" t="n">
        <x:v>0.9999938011169434</x:v>
      </x:c>
      <x:c r="T525" s="31" t="str">
        <x:v>https://mp.weixin.qq.com/s?__biz=MzUxOTMxNjk0OQ==&amp;mid=2247507452&amp;idx=1&amp;sn=bd683ab4e6493c16bdc684b8e930f947&amp;chksm=f9f9e946ce8e6050f54e02ed47758a6053da3da6b8e63c136615839bde6ee135918c0a763537#rd</x:v>
      </x:c>
    </x:row>
    <x:row r="526">
      <x:c r="A526" s="36" t="d">
        <x:v>2026-06-09T00:00:00.000Z</x:v>
      </x:c>
      <x:c r="B526" s="48" t="n">
        <x:v>66.64</x:v>
      </x:c>
      <x:c r="C526" s="48" t="n">
        <x:v>7.26</x:v>
      </x:c>
      <x:c r="D526" s="48" t="n">
        <x:v>41.95</x:v>
      </x:c>
      <x:c r="E526" s="48" t="n">
        <x:v>7.53</x:v>
      </x:c>
      <x:c r="F526" s="48" t="n">
        <x:v>750</x:v>
      </x:c>
      <x:c r="G526" s="48" t="n">
        <x:v>0</x:v>
      </x:c>
      <x:c r="H526" s="48" t="n">
        <x:v>750</x:v>
      </x:c>
      <x:c r="I526" s="48" t="n">
        <x:v>0</x:v>
      </x:c>
      <x:c r="J526" s="48" t="n">
        <x:v>1000</x:v>
      </x:c>
      <x:c r="K526" s="48" t="n">
        <x:v>0</x:v>
      </x:c>
      <x:c r="L526" s="48" t="n">
        <x:v>1000</x:v>
      </x:c>
      <x:c r="M526" s="48" t="n">
        <x:v>0</x:v>
      </x:c>
      <x:c r="N526" s="48" t="n">
        <x:v>0.39</x:v>
      </x:c>
      <x:c r="O526" s="48" t="n">
        <x:v>0.69</x:v>
      </x:c>
      <x:c r="P526" s="48" t="n">
        <x:v>0.44</x:v>
      </x:c>
      <x:c r="Q526" s="48" t="n">
        <x:v>0.71</x:v>
      </x:c>
      <x:c r="R526" s="31" t="str">
        <x:v>ok</x:v>
      </x:c>
      <x:c r="S526" s="51" t="n">
        <x:v>0.9999819397926331</x:v>
      </x:c>
      <x:c r="T526" s="31" t="str">
        <x:v>https://mp.weixin.qq.com/s?__biz=MzUxOTMxNjk0OQ==&amp;mid=2247507462&amp;idx=1&amp;sn=461337d964f19e4c34012efc8d7ef522&amp;chksm=f9f9eabcce8e63aaae8a7fce8ce808ba1275c1f24e41d2315342e6e3605fd07ff8f5e63efe5d#rd</x:v>
      </x:c>
    </x:row>
    <x:row r="527">
      <x:c r="A527" s="36" t="d">
        <x:v>2026-06-10T00:00:00.000Z</x:v>
      </x:c>
      <x:c r="B527" s="48" t="n">
        <x:v>258</x:v>
      </x:c>
      <x:c r="C527" s="48" t="n">
        <x:v>26.29</x:v>
      </x:c>
      <x:c r="D527" s="48" t="n">
        <x:v>230.19</x:v>
      </x:c>
      <x:c r="E527" s="48" t="n">
        <x:v>43.21</x:v>
      </x:c>
      <x:c r="F527" s="48" t="n">
        <x:v>780</x:v>
      </x:c>
      <x:c r="G527" s="48" t="n">
        <x:v>0</x:v>
      </x:c>
      <x:c r="H527" s="48" t="n">
        <x:v>783.42</x:v>
      </x:c>
      <x:c r="I527" s="48" t="n">
        <x:v>0</x:v>
      </x:c>
      <x:c r="J527" s="48" t="n">
        <x:v>780</x:v>
      </x:c>
      <x:c r="K527" s="48" t="n">
        <x:v>0</x:v>
      </x:c>
      <x:c r="L527" s="48" t="n">
        <x:v>802.03</x:v>
      </x:c>
      <x:c r="M527" s="48" t="n">
        <x:v>0</x:v>
      </x:c>
      <x:c r="N527" s="48" t="n">
        <x:v>0.21</x:v>
      </x:c>
      <x:c r="O527" s="48" t="n">
        <x:v>0.77</x:v>
      </x:c>
      <x:c r="P527" s="48" t="n">
        <x:v>0.23</x:v>
      </x:c>
      <x:c r="Q527" s="48" t="n">
        <x:v>0.84</x:v>
      </x:c>
      <x:c r="R527" s="31" t="str">
        <x:v>ok</x:v>
      </x:c>
      <x:c r="S527" s="51" t="n">
        <x:v>0.9999938011169434</x:v>
      </x:c>
      <x:c r="T527" s="31" t="str">
        <x:v>https://mp.weixin.qq.com/s?__biz=MzUxOTMxNjk0OQ==&amp;mid=2247507471&amp;idx=1&amp;sn=39814e5dff6f4ff4bc48c1a52292a524&amp;chksm=f9f9eab5ce8e63a37613a4e9732448bb50c7cd8e501ad8919e2653ff249f97368ec154510134#rd</x:v>
      </x:c>
    </x:row>
    <x:row r="528">
      <x:c r="A528" s="36" t="d">
        <x:v>2026-06-11T00:00:00.000Z</x:v>
      </x:c>
      <x:c r="B528" s="48" t="n">
        <x:v>176.86</x:v>
      </x:c>
      <x:c r="C528" s="48" t="n">
        <x:v>32.25</x:v>
      </x:c>
      <x:c r="D528" s="48" t="n">
        <x:v>135.53</x:v>
      </x:c>
      <x:c r="E528" s="48" t="n">
        <x:v>39.32</x:v>
      </x:c>
      <x:c r="F528" s="48" t="n">
        <x:v>424.81</x:v>
      </x:c>
      <x:c r="G528" s="48" t="n">
        <x:v>0</x:v>
      </x:c>
      <x:c r="H528" s="48" t="n">
        <x:v>424.81</x:v>
      </x:c>
      <x:c r="I528" s="48" t="n">
        <x:v>0</x:v>
      </x:c>
      <x:c r="J528" s="48" t="n">
        <x:v>960.5</x:v>
      </x:c>
      <x:c r="K528" s="48" t="n">
        <x:v>0</x:v>
      </x:c>
      <x:c r="L528" s="48" t="n">
        <x:v>1000</x:v>
      </x:c>
      <x:c r="M528" s="48" t="n">
        <x:v>0</x:v>
      </x:c>
      <x:c r="N528" s="48" t="n">
        <x:v>0.48</x:v>
      </x:c>
      <x:c r="O528" s="48" t="n">
        <x:v>0.89</x:v>
      </x:c>
      <x:c r="P528" s="48" t="n">
        <x:v>0.55</x:v>
      </x:c>
      <x:c r="Q528" s="48" t="n">
        <x:v>0.96</x:v>
      </x:c>
      <x:c r="R528" s="31" t="str">
        <x:v>ok</x:v>
      </x:c>
      <x:c r="S528" s="51" t="n">
        <x:v>0.9534361362457275</x:v>
      </x:c>
      <x:c r="T528" s="31" t="str">
        <x:v>https://mp.weixin.qq.com/s?__biz=MzUxOTMxNjk0OQ==&amp;mid=2247507519&amp;idx=1&amp;sn=7a470f49c67035df7154a4936b01d4e8&amp;chksm=f9f9ea85ce8e6393fef05516c5e250bfdaaf7179a9131ab93b6ed91e4761ee4535c2b27d7885#rd</x:v>
      </x:c>
    </x:row>
    <x:row r="529">
      <x:c r="A529" s="36" t="d">
        <x:v>2026-06-12T00:00:00.000Z</x:v>
      </x:c>
      <x:c r="B529" s="48" t="n">
        <x:v>80.58</x:v>
      </x:c>
      <x:c r="C529" s="48" t="n">
        <x:v>19.34</x:v>
      </x:c>
      <x:c r="D529" s="48" t="n">
        <x:v>65.43</x:v>
      </x:c>
      <x:c r="E529" s="48" t="n">
        <x:v>13.11</x:v>
      </x:c>
      <x:c r="F529" s="48" t="n">
        <x:v>750</x:v>
      </x:c>
      <x:c r="G529" s="48" t="n">
        <x:v>0</x:v>
      </x:c>
      <x:c r="H529" s="48" t="n">
        <x:v>753.97</x:v>
      </x:c>
      <x:c r="I529" s="48" t="n">
        <x:v>0</x:v>
      </x:c>
      <x:c r="J529" s="48" t="n">
        <x:v>1000</x:v>
      </x:c>
      <x:c r="K529" s="48" t="n">
        <x:v>0</x:v>
      </x:c>
      <x:c r="L529" s="48" t="n">
        <x:v>1000</x:v>
      </x:c>
      <x:c r="M529" s="48" t="n">
        <x:v>0</x:v>
      </x:c>
      <x:c r="N529" s="48" t="n">
        <x:v>0.74</x:v>
      </x:c>
      <x:c r="O529" s="48" t="n">
        <x:v>0.82</x:v>
      </x:c>
      <x:c r="P529" s="48" t="n">
        <x:v>0.79</x:v>
      </x:c>
      <x:c r="Q529" s="48" t="n">
        <x:v>0.84</x:v>
      </x:c>
      <x:c r="R529" s="31" t="str">
        <x:v>ok</x:v>
      </x:c>
      <x:c r="S529" s="51" t="n">
        <x:v>0.9586887359619141</x:v>
      </x:c>
      <x:c r="T529" s="31" t="str">
        <x:v>https://mp.weixin.qq.com/s?__biz=MzUxOTMxNjk0OQ==&amp;mid=2247507532&amp;idx=1&amp;sn=06089c46152b114c0eb82b2c78b1c8da&amp;chksm=f9f9eaf6ce8e63e096b89d40f99d2637d1f4e6aa3d4d2ae74bcf311d6db3e82e4e6fd4d6dae2#rd</x:v>
      </x:c>
    </x:row>
    <x:row r="530">
      <x:c r="A530" s="36" t="d">
        <x:v>2026-06-13T00:00:00.000Z</x:v>
      </x:c>
      <x:c r="B530" s="48" t="n">
        <x:v>152.21</x:v>
      </x:c>
      <x:c r="C530" s="48" t="n">
        <x:v>15.86</x:v>
      </x:c>
      <x:c r="D530" s="48" t="n">
        <x:v>115.07</x:v>
      </x:c>
      <x:c r="E530" s="48" t="n">
        <x:v>11.83</x:v>
      </x:c>
      <x:c r="F530" s="48" t="n">
        <x:v>682.43</x:v>
      </x:c>
      <x:c r="G530" s="48" t="n">
        <x:v>0</x:v>
      </x:c>
      <x:c r="H530" s="48" t="n">
        <x:v>684.44</x:v>
      </x:c>
      <x:c r="I530" s="48" t="n">
        <x:v>0</x:v>
      </x:c>
      <x:c r="J530" s="48" t="n">
        <x:v>684.12</x:v>
      </x:c>
      <x:c r="K530" s="48" t="n">
        <x:v>0</x:v>
      </x:c>
      <x:c r="L530" s="48" t="n">
        <x:v>687.5</x:v>
      </x:c>
      <x:c r="M530" s="48" t="n">
        <x:v>0</x:v>
      </x:c>
      <x:c r="N530" s="48" t="n">
        <x:v>0.45</x:v>
      </x:c>
      <x:c r="O530" s="48" t="n">
        <x:v>0.94</x:v>
      </x:c>
      <x:c r="P530" s="48" t="n">
        <x:v>0.54</x:v>
      </x:c>
      <x:c r="Q530" s="48" t="n">
        <x:v>0.83</x:v>
      </x:c>
      <x:c r="R530" s="31" t="str">
        <x:v>ok</x:v>
      </x:c>
      <x:c r="S530" s="51" t="n">
        <x:v>0.9999943971633911</x:v>
      </x:c>
      <x:c r="T530" s="31" t="str">
        <x:v>https://mp.weixin.qq.com/s?__biz=MzUxOTMxNjk0OQ==&amp;mid=2247507547&amp;idx=1&amp;sn=4b7a94cedf33a3a7b1d3e608a7f4f229&amp;chksm=f9f9eae1ce8e63f7ba69ec48c248d851eaa5b0e03970c90f94eb7ca80ee23310a3d336eec5a1#rd</x:v>
      </x:c>
    </x:row>
    <x:row r="531">
      <x:c r="A531" s="36" t="d">
        <x:v>2026-06-14T00:00:00.000Z</x:v>
      </x:c>
      <x:c r="B531" s="48" t="n">
        <x:v>202.88</x:v>
      </x:c>
      <x:c r="C531" s="48" t="n">
        <x:v>24.49</x:v>
      </x:c>
      <x:c r="D531" s="48" t="n">
        <x:v>190.13</x:v>
      </x:c>
      <x:c r="E531" s="48" t="n">
        <x:v>39.98</x:v>
      </x:c>
      <x:c r="F531" s="48" t="n">
        <x:v>328</x:v>
      </x:c>
      <x:c r="G531" s="48" t="n">
        <x:v>0</x:v>
      </x:c>
      <x:c r="H531" s="48" t="n">
        <x:v>328</x:v>
      </x:c>
      <x:c r="I531" s="48" t="n">
        <x:v>0</x:v>
      </x:c>
      <x:c r="J531" s="48" t="n">
        <x:v>1000</x:v>
      </x:c>
      <x:c r="K531" s="48" t="n">
        <x:v>0</x:v>
      </x:c>
      <x:c r="L531" s="48" t="n">
        <x:v>1000</x:v>
      </x:c>
      <x:c r="M531" s="48" t="n">
        <x:v>0</x:v>
      </x:c>
      <x:c r="N531" s="48" t="n">
        <x:v>0.37</x:v>
      </x:c>
      <x:c r="O531" s="48" t="n">
        <x:v>0.9</x:v>
      </x:c>
      <x:c r="P531" s="48" t="n">
        <x:v>0.5</x:v>
      </x:c>
      <x:c r="Q531" s="48" t="n">
        <x:v>0.89</x:v>
      </x:c>
      <x:c r="R531" s="31" t="str">
        <x:v>ok</x:v>
      </x:c>
      <x:c r="S531" s="51" t="n">
        <x:v>0.9994702935218811</x:v>
      </x:c>
      <x:c r="T531" s="31" t="str">
        <x:v>https://mp.weixin.qq.com/s?__biz=MzUxOTMxNjk0OQ==&amp;mid=2247507565&amp;idx=1&amp;sn=2218f1abc7ebcc8160e65995f5ae9791&amp;chksm=f9f9ead7ce8e63c183dc30b0de03fad22036aa39799d8200f592ae07ea4de417704f999216a5#rd</x:v>
      </x:c>
    </x:row>
    <x:row r="532">
      <x:c r="A532" s="36" t="d">
        <x:v>2026-06-15T00:00:00.000Z</x:v>
      </x:c>
      <x:c r="B532" s="48" t="n">
        <x:v>35.08</x:v>
      </x:c>
      <x:c r="C532" s="48" t="n">
        <x:v>6.08</x:v>
      </x:c>
      <x:c r="D532" s="48" t="n">
        <x:v>46.36</x:v>
      </x:c>
      <x:c r="E532" s="48" t="n">
        <x:v>17.95</x:v>
      </x:c>
      <x:c r="F532" s="48" t="n">
        <x:v>407</x:v>
      </x:c>
      <x:c r="G532" s="48" t="n">
        <x:v>0</x:v>
      </x:c>
      <x:c r="H532" s="48" t="n">
        <x:v>407</x:v>
      </x:c>
      <x:c r="I532" s="48" t="n">
        <x:v>0</x:v>
      </x:c>
      <x:c r="J532" s="48" t="n">
        <x:v>1000</x:v>
      </x:c>
      <x:c r="K532" s="48" t="n">
        <x:v>0</x:v>
      </x:c>
      <x:c r="L532" s="48" t="n">
        <x:v>1000</x:v>
      </x:c>
      <x:c r="M532" s="48" t="n">
        <x:v>0</x:v>
      </x:c>
      <x:c r="N532" s="48" t="n">
        <x:v>0.82</x:v>
      </x:c>
      <x:c r="O532" s="48" t="n">
        <x:v>0.8</x:v>
      </x:c>
      <x:c r="P532" s="48" t="n">
        <x:v>0.89</x:v>
      </x:c>
      <x:c r="Q532" s="48" t="n">
        <x:v>0.88</x:v>
      </x:c>
      <x:c r="R532" s="31" t="str">
        <x:v>ok</x:v>
      </x:c>
      <x:c r="S532" s="51" t="n">
        <x:v>0.9999815821647644</x:v>
      </x:c>
      <x:c r="T532" s="31" t="str">
        <x:v>https://mp.weixin.qq.com/s?__biz=MzUxOTMxNjk0OQ==&amp;mid=2247507628&amp;idx=1&amp;sn=954e212d1fce3d299bede3d6f6a1c979&amp;chksm=f9f9ea16ce8e63004d9aeba661b7eaad04251b0f439575b57691c71a695f6f5de069f8a16f76#rd</x:v>
      </x:c>
    </x:row>
    <x:row r="533">
      <x:c r="A533" s="36" t="d">
        <x:v>2026-06-16T00:00:00.000Z</x:v>
      </x:c>
      <x:c r="B533" s="48" t="n">
        <x:v>101.2</x:v>
      </x:c>
      <x:c r="C533" s="48" t="n">
        <x:v>45.81</x:v>
      </x:c>
      <x:c r="D533" s="48" t="n">
        <x:v>132.15</x:v>
      </x:c>
      <x:c r="E533" s="48" t="n">
        <x:v>43.51</x:v>
      </x:c>
      <x:c r="F533" s="48" t="n">
        <x:v>665</x:v>
      </x:c>
      <x:c r="G533" s="48" t="n">
        <x:v>0</x:v>
      </x:c>
      <x:c r="H533" s="48" t="n">
        <x:v>665</x:v>
      </x:c>
      <x:c r="I533" s="48" t="n">
        <x:v>0</x:v>
      </x:c>
      <x:c r="J533" s="48" t="n">
        <x:v>679</x:v>
      </x:c>
      <x:c r="K533" s="48" t="n">
        <x:v>0</x:v>
      </x:c>
      <x:c r="L533" s="48" t="n">
        <x:v>679</x:v>
      </x:c>
      <x:c r="M533" s="48" t="n">
        <x:v>0</x:v>
      </x:c>
      <x:c r="N533" s="48" t="n">
        <x:v>0.78</x:v>
      </x:c>
      <x:c r="O533" s="48" t="n">
        <x:v>0.97</x:v>
      </x:c>
      <x:c r="P533" s="48" t="n">
        <x:v>0.78</x:v>
      </x:c>
      <x:c r="Q533" s="48" t="n">
        <x:v>1</x:v>
      </x:c>
      <x:c r="R533" s="31" t="str">
        <x:v>ok</x:v>
      </x:c>
      <x:c r="S533" s="51" t="n">
        <x:v>0.9999779462814331</x:v>
      </x:c>
      <x:c r="T533" s="31" t="str">
        <x:v>https://mp.weixin.qq.com/s?__biz=MzUxOTMxNjk0OQ==&amp;mid=2247507634&amp;idx=1&amp;sn=d5c209133682eb6839c1e8c30e41073e&amp;chksm=f9f9ea08ce8e631e1fd295b9c68ede048a900c93f796fc2b91925f1384f470a9bd7e938fe5a2#rd</x:v>
      </x:c>
    </x:row>
    <x:row r="534">
      <x:c r="A534" s="36" t="d">
        <x:v>2026-06-17T00:00:00.000Z</x:v>
      </x:c>
      <x:c r="B534" s="48" t="n">
        <x:v>166</x:v>
      </x:c>
      <x:c r="C534" s="48" t="n">
        <x:v>50.7</x:v>
      </x:c>
      <x:c r="D534" s="48" t="n">
        <x:v>189.16</x:v>
      </x:c>
      <x:c r="E534" s="48" t="n">
        <x:v>181.62</x:v>
      </x:c>
      <x:c r="F534" s="48" t="n">
        <x:v>418.68</x:v>
      </x:c>
      <x:c r="G534" s="48" t="n">
        <x:v>0</x:v>
      </x:c>
      <x:c r="H534" s="48" t="n">
        <x:v>418.68</x:v>
      </x:c>
      <x:c r="I534" s="48" t="n">
        <x:v>0</x:v>
      </x:c>
      <x:c r="J534" s="48" t="n">
        <x:v>553.31</x:v>
      </x:c>
      <x:c r="K534" s="48" t="n">
        <x:v>0</x:v>
      </x:c>
      <x:c r="L534" s="48" t="n">
        <x:v>553.31</x:v>
      </x:c>
      <x:c r="M534" s="48" t="n">
        <x:v>0</x:v>
      </x:c>
      <x:c r="N534" s="48" t="n">
        <x:v>0.54</x:v>
      </x:c>
      <x:c r="O534" s="48" t="n">
        <x:v>0.84</x:v>
      </x:c>
      <x:c r="P534" s="48" t="n">
        <x:v>0.56</x:v>
      </x:c>
      <x:c r="Q534" s="48" t="n">
        <x:v>0.89</x:v>
      </x:c>
      <x:c r="R534" s="31" t="str">
        <x:v>ok</x:v>
      </x:c>
      <x:c r="S534" s="51" t="n">
        <x:v>0.9999961853027344</x:v>
      </x:c>
      <x:c r="T534" s="31" t="str">
        <x:v>https://mp.weixin.qq.com/s?__biz=MzUxOTMxNjk0OQ==&amp;mid=2247507651&amp;idx=2&amp;sn=6811282833ff8fba0d39216930073341&amp;chksm=f9f9ea79ce8e636fb95a832c96aed18f35152ad8a0afbae84c4fed5f6b0fa0f18f3e6722caba#rd</x:v>
      </x:c>
    </x:row>
    <x:row r="535">
      <x:c r="A535" s="36" t="d">
        <x:v>2026-06-18T00:00:00.000Z</x:v>
      </x:c>
      <x:c r="B535" s="48" t="n">
        <x:v>290.34</x:v>
      </x:c>
      <x:c r="C535" s="48" t="n">
        <x:v>277.56</x:v>
      </x:c>
      <x:c r="D535" s="48" t="n">
        <x:v>279.91</x:v>
      </x:c>
      <x:c r="E535" s="48" t="n">
        <x:v>260.09</x:v>
      </x:c>
      <x:c r="F535" s="48" t="n">
        <x:v>555.92</x:v>
      </x:c>
      <x:c r="G535" s="48" t="n">
        <x:v>0</x:v>
      </x:c>
      <x:c r="H535" s="48" t="n">
        <x:v>627.63</x:v>
      </x:c>
      <x:c r="I535" s="48" t="n">
        <x:v>0</x:v>
      </x:c>
      <x:c r="J535" s="48" t="n">
        <x:v>533.41</x:v>
      </x:c>
      <x:c r="K535" s="48" t="n">
        <x:v>0</x:v>
      </x:c>
      <x:c r="L535" s="48" t="n">
        <x:v>533.41</x:v>
      </x:c>
      <x:c r="M535" s="48" t="n">
        <x:v>0</x:v>
      </x:c>
      <x:c r="N535" s="48" t="n">
        <x:v>0.4</x:v>
      </x:c>
      <x:c r="O535" s="48" t="n">
        <x:v>0.63</x:v>
      </x:c>
      <x:c r="P535" s="48" t="n">
        <x:v>0.42</x:v>
      </x:c>
      <x:c r="Q535" s="48" t="n">
        <x:v>0.51</x:v>
      </x:c>
      <x:c r="R535" s="31" t="str">
        <x:v>ok</x:v>
      </x:c>
      <x:c r="S535" s="51" t="n">
        <x:v>0.9999957084655762</x:v>
      </x:c>
      <x:c r="T535" s="31" t="str">
        <x:v>https://mp.weixin.qq.com/s?__biz=MzUxOTMxNjk0OQ==&amp;mid=2247507655&amp;idx=1&amp;sn=1df8f89d71668040ca53976049e29f24&amp;chksm=f9f9ea7dce8e636b3250ae01838933e2cd1369fa313de8ff0b1786be29a549934ad1824a5d75#rd</x:v>
      </x:c>
    </x:row>
    <x:row r="536">
      <x:c r="A536" s="36" t="d">
        <x:v>2026-06-19T00:00:00.000Z</x:v>
      </x:c>
      <x:c r="B536" s="48" t="n">
        <x:v>234.97</x:v>
      </x:c>
      <x:c r="C536" s="48" t="n">
        <x:v>34.96</x:v>
      </x:c>
      <x:c r="D536" s="48" t="n">
        <x:v>236.68</x:v>
      </x:c>
      <x:c r="E536" s="48" t="n">
        <x:v>31.25</x:v>
      </x:c>
      <x:c r="F536" s="48" t="n">
        <x:v>472.87</x:v>
      </x:c>
      <x:c r="G536" s="48" t="n">
        <x:v>0</x:v>
      </x:c>
      <x:c r="H536" s="48" t="n">
        <x:v>555.52</x:v>
      </x:c>
      <x:c r="I536" s="48" t="n">
        <x:v>0</x:v>
      </x:c>
      <x:c r="J536" s="48" t="n">
        <x:v>664.84</x:v>
      </x:c>
      <x:c r="K536" s="48" t="n">
        <x:v>0</x:v>
      </x:c>
      <x:c r="L536" s="48" t="n">
        <x:v>857.92</x:v>
      </x:c>
      <x:c r="M536" s="48" t="n">
        <x:v>0</x:v>
      </x:c>
      <x:c r="N536" s="48" t="n">
        <x:v>0.3</x:v>
      </x:c>
      <x:c r="O536" s="48" t="n">
        <x:v>0.86</x:v>
      </x:c>
      <x:c r="P536" s="48" t="n">
        <x:v>0.27</x:v>
      </x:c>
      <x:c r="Q536" s="48" t="n">
        <x:v>0.79</x:v>
      </x:c>
      <x:c r="R536" s="31" t="str">
        <x:v>ok</x:v>
      </x:c>
      <x:c r="S536" s="51" t="n">
        <x:v>0.9999961853027344</x:v>
      </x:c>
      <x:c r="T536" s="31" t="str">
        <x:v>https://mp.weixin.qq.com/s?__biz=MzUxOTMxNjk0OQ==&amp;mid=2247507658&amp;idx=1&amp;sn=65ac2bb0126cc7e91ddf84a2e629cb87&amp;chksm=f9f9ea70ce8e63668f20fe45985e4a404b2f0d921a6459fe346f17c2249a38ccc171b0c52a4f#rd</x:v>
      </x:c>
    </x:row>
    <x:row r="537">
      <x:c r="A537" s="36" t="d">
        <x:v>2026-06-20T00:00:00.000Z</x:v>
      </x:c>
      <x:c r="B537" s="48" t="n">
        <x:v>137.36</x:v>
      </x:c>
      <x:c r="C537" s="48" t="n">
        <x:v>168.55</x:v>
      </x:c>
      <x:c r="D537" s="48" t="n">
        <x:v>157.8</x:v>
      </x:c>
      <x:c r="E537" s="48" t="n">
        <x:v>106.64</x:v>
      </x:c>
      <x:c r="F537" s="48" t="n">
        <x:v>411</x:v>
      </x:c>
      <x:c r="G537" s="48" t="n">
        <x:v>0</x:v>
      </x:c>
      <x:c r="H537" s="48" t="n">
        <x:v>411</x:v>
      </x:c>
      <x:c r="I537" s="48" t="n">
        <x:v>0</x:v>
      </x:c>
      <x:c r="J537" s="48" t="n">
        <x:v>447.95</x:v>
      </x:c>
      <x:c r="K537" s="48" t="n">
        <x:v>0</x:v>
      </x:c>
      <x:c r="L537" s="48" t="n">
        <x:v>447.95</x:v>
      </x:c>
      <x:c r="M537" s="48" t="n">
        <x:v>0</x:v>
      </x:c>
      <x:c r="N537" s="48" t="n">
        <x:v>0.54</x:v>
      </x:c>
      <x:c r="O537" s="48" t="n">
        <x:v>0.67</x:v>
      </x:c>
      <x:c r="P537" s="48" t="n">
        <x:v>0.42</x:v>
      </x:c>
      <x:c r="Q537" s="48" t="n">
        <x:v>0.67</x:v>
      </x:c>
      <x:c r="R537" s="31" t="str">
        <x:v>ok</x:v>
      </x:c>
      <x:c r="S537" s="51" t="n">
        <x:v>0.9999865889549255</x:v>
      </x:c>
      <x:c r="T537" s="31" t="str">
        <x:v>https://mp.weixin.qq.com/s?__biz=MzUxOTMxNjk0OQ==&amp;mid=2247507663&amp;idx=1&amp;sn=9c0ed17e5008aa1d49f9000482efb7c8&amp;chksm=f9f9ea75ce8e636351bff641f273e182f299c36d3072ad17ab6664a0dc0870e223973a73472e#rd</x:v>
      </x:c>
    </x:row>
    <x:row r="538">
      <x:c r="A538" s="36" t="d">
        <x:v>2026-06-21T00:00:00.000Z</x:v>
      </x:c>
      <x:c r="B538" s="48" t="n">
        <x:v>255.92</x:v>
      </x:c>
      <x:c r="C538" s="48" t="n">
        <x:v>156.22</x:v>
      </x:c>
      <x:c r="D538" s="48" t="n">
        <x:v>219.86</x:v>
      </x:c>
      <x:c r="E538" s="48" t="n">
        <x:v>153.19</x:v>
      </x:c>
      <x:c r="F538" s="48" t="n">
        <x:v>531.01</x:v>
      </x:c>
      <x:c r="G538" s="48" t="n">
        <x:v>0</x:v>
      </x:c>
      <x:c r="H538" s="48" t="n">
        <x:v>531.01</x:v>
      </x:c>
      <x:c r="I538" s="48" t="n">
        <x:v>0</x:v>
      </x:c>
      <x:c r="J538" s="48" t="n">
        <x:v>464.08</x:v>
      </x:c>
      <x:c r="K538" s="48" t="n">
        <x:v>0</x:v>
      </x:c>
      <x:c r="L538" s="48" t="n">
        <x:v>464.08</x:v>
      </x:c>
      <x:c r="M538" s="48" t="n">
        <x:v>0</x:v>
      </x:c>
      <x:c r="N538" s="48" t="n">
        <x:v>0.29</x:v>
      </x:c>
      <x:c r="O538" s="48" t="n">
        <x:v>0.57</x:v>
      </x:c>
      <x:c r="P538" s="48" t="n">
        <x:v>0.43</x:v>
      </x:c>
      <x:c r="Q538" s="48" t="n">
        <x:v>0.53</x:v>
      </x:c>
      <x:c r="R538" s="31" t="str">
        <x:v>ok</x:v>
      </x:c>
      <x:c r="S538" s="51" t="n">
        <x:v>0.9985866546630859</x:v>
      </x:c>
      <x:c r="T538" s="31" t="str">
        <x:v>https://mp.weixin.qq.com/s?__biz=MzUxOTMxNjk0OQ==&amp;mid=2247507669&amp;idx=1&amp;sn=99b9a96c3833baffe1732c51b60dfad1&amp;chksm=f9f9ea6fce8e637928b797949c2a96bcd3027c1b5ba8fd809efd9001cb1a6a2986757f1a7e36#rd</x:v>
      </x:c>
    </x:row>
    <x:row r="539">
      <x:c r="A539" s="36" t="d">
        <x:v>2026-06-22T00:00:00.000Z</x:v>
      </x:c>
      <x:c r="B539" s="48" t="n">
        <x:v>266.98</x:v>
      </x:c>
      <x:c r="C539" s="48" t="n">
        <x:v>89.39</x:v>
      </x:c>
      <x:c r="D539" s="48" t="n">
        <x:v>149.74</x:v>
      </x:c>
      <x:c r="E539" s="48" t="n">
        <x:v>51.25</x:v>
      </x:c>
      <x:c r="F539" s="48" t="n">
        <x:v>784.51</x:v>
      </x:c>
      <x:c r="G539" s="48" t="n">
        <x:v>0</x:v>
      </x:c>
      <x:c r="H539" s="48" t="n">
        <x:v>982.15</x:v>
      </x:c>
      <x:c r="I539" s="48" t="n">
        <x:v>0</x:v>
      </x:c>
      <x:c r="J539" s="48" t="n">
        <x:v>446.73</x:v>
      </x:c>
      <x:c r="K539" s="48" t="n">
        <x:v>0</x:v>
      </x:c>
      <x:c r="L539" s="48" t="n">
        <x:v>523.03</x:v>
      </x:c>
      <x:c r="M539" s="48" t="n">
        <x:v>0</x:v>
      </x:c>
      <x:c r="N539" s="48" t="n">
        <x:v>0.44</x:v>
      </x:c>
      <x:c r="O539" s="48" t="n">
        <x:v>0.78</x:v>
      </x:c>
      <x:c r="P539" s="48" t="n">
        <x:v>0.6</x:v>
      </x:c>
      <x:c r="Q539" s="48" t="n">
        <x:v>0.8</x:v>
      </x:c>
      <x:c r="R539" s="31" t="str">
        <x:v>ok</x:v>
      </x:c>
      <x:c r="S539" s="51" t="n">
        <x:v>0.9999966621398926</x:v>
      </x:c>
      <x:c r="T539" s="31" t="str">
        <x:v>https://mp.weixin.qq.com/s?__biz=MzUxOTMxNjk0OQ==&amp;mid=2247507673&amp;idx=1&amp;sn=aa6edbdd93b640d8a995a13d417b3fea&amp;chksm=f9f9ea63ce8e637544c3ced743d28d16d3d468d566c6fae0dba698cf430a28e905248c9019f5#rd</x:v>
      </x:c>
    </x:row>
    <x:row r="540">
      <x:c r="A540" s="36" t="d">
        <x:v>2026-06-23T00:00:00.000Z</x:v>
      </x:c>
      <x:c r="B540" s="48" t="n">
        <x:v>261.04</x:v>
      </x:c>
      <x:c r="C540" s="48" t="n">
        <x:v>109.89</x:v>
      </x:c>
      <x:c r="D540" s="48" t="n">
        <x:v>216.03</x:v>
      </x:c>
      <x:c r="E540" s="48" t="n">
        <x:v>85.19</x:v>
      </x:c>
      <x:c r="F540" s="48" t="n">
        <x:v>600</x:v>
      </x:c>
      <x:c r="G540" s="48" t="n">
        <x:v>0</x:v>
      </x:c>
      <x:c r="H540" s="48" t="n">
        <x:v>600</x:v>
      </x:c>
      <x:c r="I540" s="48" t="n">
        <x:v>0</x:v>
      </x:c>
      <x:c r="J540" s="48" t="n">
        <x:v>680</x:v>
      </x:c>
      <x:c r="K540" s="48" t="n">
        <x:v>0</x:v>
      </x:c>
      <x:c r="L540" s="48" t="n">
        <x:v>680</x:v>
      </x:c>
      <x:c r="M540" s="48" t="n">
        <x:v>0</x:v>
      </x:c>
      <x:c r="N540" s="48" t="n">
        <x:v>0.38</x:v>
      </x:c>
      <x:c r="O540" s="48" t="n">
        <x:v>0.9</x:v>
      </x:c>
      <x:c r="P540" s="48" t="n">
        <x:v>0.51</x:v>
      </x:c>
      <x:c r="Q540" s="48" t="n">
        <x:v>0.82</x:v>
      </x:c>
      <x:c r="R540" s="31" t="str">
        <x:v>ok</x:v>
      </x:c>
      <x:c r="S540" s="51" t="n">
        <x:v>0.9999955296516418</x:v>
      </x:c>
      <x:c r="T540" s="31" t="str">
        <x:v>https://mp.weixin.qq.com/s?__biz=MzUxOTMxNjk0OQ==&amp;mid=2247507677&amp;idx=1&amp;sn=b9bfb8225e398b32cc79fa77a1fe93ee&amp;chksm=f9f9ea67ce8e6371aa480036878cc4e55065d2856b3b4a9bc4e7adb21e7b87e8addfebb77b68#rd</x:v>
      </x:c>
    </x:row>
    <x:row r="541">
      <x:c r="A541" s="36" t="d">
        <x:v>2026-06-24T00:00:00.000Z</x:v>
      </x:c>
      <x:c r="B541" s="48" t="n">
        <x:v>242.87</x:v>
      </x:c>
      <x:c r="C541" s="48" t="n">
        <x:v>96.35</x:v>
      </x:c>
      <x:c r="D541" s="48" t="n">
        <x:v>280.49</x:v>
      </x:c>
      <x:c r="E541" s="48" t="n">
        <x:v>107.03</x:v>
      </x:c>
      <x:c r="F541" s="48" t="n">
        <x:v>502</x:v>
      </x:c>
      <x:c r="G541" s="48" t="n">
        <x:v>0</x:v>
      </x:c>
      <x:c r="H541" s="48" t="n">
        <x:v>502</x:v>
      </x:c>
      <x:c r="I541" s="48" t="n">
        <x:v>0</x:v>
      </x:c>
      <x:c r="J541" s="48" t="n">
        <x:v>1000</x:v>
      </x:c>
      <x:c r="K541" s="48" t="n">
        <x:v>0</x:v>
      </x:c>
      <x:c r="L541" s="48" t="n">
        <x:v>1000</x:v>
      </x:c>
      <x:c r="M541" s="48" t="n">
        <x:v>0</x:v>
      </x:c>
      <x:c r="N541" s="48" t="n">
        <x:v>0.35</x:v>
      </x:c>
      <x:c r="O541" s="48" t="n">
        <x:v>0.92</x:v>
      </x:c>
      <x:c r="P541" s="48" t="n">
        <x:v>0.31</x:v>
      </x:c>
      <x:c r="Q541" s="48" t="n">
        <x:v>0.91</x:v>
      </x:c>
      <x:c r="R541" s="31" t="str">
        <x:v>ok</x:v>
      </x:c>
      <x:c r="S541" s="51" t="n">
        <x:v>0.9489063024520874</x:v>
      </x:c>
      <x:c r="T541" s="31" t="str">
        <x:v>https://mp.weixin.qq.com/s?__biz=MzUxOTMxNjk0OQ==&amp;mid=2247507684&amp;idx=1&amp;sn=d59984c8295da28318aa4476f895f6bb&amp;chksm=f9f9ea5ece8e6348ccf6797a170841d2edfbb7d36d6b9d5fa78e7a5964ea7b6060ee481bfa82#rd</x:v>
      </x:c>
    </x:row>
    <x:row r="542">
      <x:c r="A542" s="36" t="d">
        <x:v>2026-06-25T00:00:00.000Z</x:v>
      </x:c>
      <x:c r="B542" s="48" t="n">
        <x:v>290.73</x:v>
      </x:c>
      <x:c r="C542" s="48" t="n">
        <x:v>229.99</x:v>
      </x:c>
      <x:c r="D542" s="48" t="n">
        <x:v>243.7</x:v>
      </x:c>
      <x:c r="E542" s="48" t="n">
        <x:v>69.81</x:v>
      </x:c>
      <x:c r="F542" s="48" t="n">
        <x:v>516</x:v>
      </x:c>
      <x:c r="G542" s="48" t="n">
        <x:v>0</x:v>
      </x:c>
      <x:c r="H542" s="48" t="n">
        <x:v>516</x:v>
      </x:c>
      <x:c r="I542" s="48" t="n">
        <x:v>0</x:v>
      </x:c>
      <x:c r="J542" s="48" t="n">
        <x:v>550</x:v>
      </x:c>
      <x:c r="K542" s="48" t="n">
        <x:v>0</x:v>
      </x:c>
      <x:c r="L542" s="48" t="n">
        <x:v>550</x:v>
      </x:c>
      <x:c r="M542" s="48" t="n">
        <x:v>0</x:v>
      </x:c>
      <x:c r="N542" s="48" t="n">
        <x:v>0.24</x:v>
      </x:c>
      <x:c r="O542" s="48" t="n">
        <x:v>0.76</x:v>
      </x:c>
      <x:c r="P542" s="48" t="n">
        <x:v>0.29</x:v>
      </x:c>
      <x:c r="Q542" s="48" t="n">
        <x:v>0.81</x:v>
      </x:c>
      <x:c r="R542" s="31" t="str">
        <x:v>ok</x:v>
      </x:c>
      <x:c r="S542" s="51" t="n">
        <x:v>0.9999921917915344</x:v>
      </x:c>
      <x:c r="T542" s="31" t="str">
        <x:v>https://mp.weixin.qq.com/s?__biz=MzUxOTMxNjk0OQ==&amp;mid=2247507688&amp;idx=1&amp;sn=56d2f497c30ce2d8fedfd26c2a6f4543&amp;chksm=f9f9ea52ce8e6344033cce68ddbe3ca14282a9d2959d9a64fc04618e0d51c09e40da95211807#rd</x:v>
      </x:c>
    </x:row>
    <x:row r="543">
      <x:c r="A543" s="36" t="d">
        <x:v>2026-06-26T00:00:00.000Z</x:v>
      </x:c>
      <x:c r="B543" s="48" t="n">
        <x:v>260.82</x:v>
      </x:c>
      <x:c r="C543" s="48" t="n">
        <x:v>50.82</x:v>
      </x:c>
      <x:c r="D543" s="48" t="n">
        <x:v>255.56</x:v>
      </x:c>
      <x:c r="E543" s="48" t="n">
        <x:v>71.1</x:v>
      </x:c>
      <x:c r="F543" s="48" t="n">
        <x:v>365</x:v>
      </x:c>
      <x:c r="G543" s="48" t="n">
        <x:v>0</x:v>
      </x:c>
      <x:c r="H543" s="48" t="n">
        <x:v>365</x:v>
      </x:c>
      <x:c r="I543" s="48" t="n">
        <x:v>0</x:v>
      </x:c>
      <x:c r="J543" s="48" t="n">
        <x:v>495</x:v>
      </x:c>
      <x:c r="K543" s="48" t="n">
        <x:v>0</x:v>
      </x:c>
      <x:c r="L543" s="48" t="n">
        <x:v>495</x:v>
      </x:c>
      <x:c r="M543" s="48" t="n">
        <x:v>0</x:v>
      </x:c>
      <x:c r="N543" s="48" t="n">
        <x:v>0.16</x:v>
      </x:c>
      <x:c r="O543" s="48" t="n">
        <x:v>0.95</x:v>
      </x:c>
      <x:c r="P543" s="48" t="n">
        <x:v>0.19</x:v>
      </x:c>
      <x:c r="Q543" s="48" t="n">
        <x:v>0.95</x:v>
      </x:c>
      <x:c r="R543" s="31" t="str">
        <x:v>ok</x:v>
      </x:c>
      <x:c r="S543" s="51" t="n">
        <x:v>0.9999935030937195</x:v>
      </x:c>
      <x:c r="T543" s="31" t="str">
        <x:v>https://mp.weixin.qq.com/s?__biz=MzUxOTMxNjk0OQ==&amp;mid=2247507691&amp;idx=1&amp;sn=e870eebfb9bdb5531567f0e2872e240f&amp;chksm=f9f9ea51ce8e6347e4ebfa6570bc0cc426ab4421deca9f3ec83971a910453ab69c20f1dfab58#rd</x:v>
      </x:c>
    </x:row>
    <x:row r="544">
      <x:c r="A544" s="36" t="d">
        <x:v>2026-06-27T00:00:00.000Z</x:v>
      </x:c>
      <x:c r="B544" s="48" t="n">
        <x:v>213.62</x:v>
      </x:c>
      <x:c r="C544" s="48" t="n">
        <x:v>32.5</x:v>
      </x:c>
      <x:c r="D544" s="48" t="n">
        <x:v>157.76</x:v>
      </x:c>
      <x:c r="E544" s="48" t="n">
        <x:v>42.91</x:v>
      </x:c>
      <x:c r="F544" s="48" t="n">
        <x:v>385</x:v>
      </x:c>
      <x:c r="G544" s="48" t="n">
        <x:v>0</x:v>
      </x:c>
      <x:c r="H544" s="48" t="n">
        <x:v>385</x:v>
      </x:c>
      <x:c r="I544" s="48" t="n">
        <x:v>0</x:v>
      </x:c>
      <x:c r="J544" s="48" t="n">
        <x:v>439.32</x:v>
      </x:c>
      <x:c r="K544" s="48" t="n">
        <x:v>0</x:v>
      </x:c>
      <x:c r="L544" s="48" t="n">
        <x:v>495.86</x:v>
      </x:c>
      <x:c r="M544" s="48" t="n">
        <x:v>0</x:v>
      </x:c>
      <x:c r="N544" s="48" t="n">
        <x:v>0.42</x:v>
      </x:c>
      <x:c r="O544" s="48" t="n">
        <x:v>0.97</x:v>
      </x:c>
      <x:c r="P544" s="48" t="n">
        <x:v>0.59</x:v>
      </x:c>
      <x:c r="Q544" s="48" t="n">
        <x:v>0.95</x:v>
      </x:c>
      <x:c r="R544" s="31" t="str">
        <x:v>ok</x:v>
      </x:c>
      <x:c r="S544" s="51" t="n">
        <x:v>0.9999962449073792</x:v>
      </x:c>
      <x:c r="T544" s="31" t="str">
        <x:v>https://mp.weixin.qq.com/s?__biz=MzUxOTMxNjk0OQ==&amp;mid=2247507707&amp;idx=1&amp;sn=db9914e0e40f7d2b9ea9f6dae05ab5d4&amp;chksm=f9f9ea41ce8e63571cf79283055fc34b377f206e657720f99c86e1fd3584db4de28e45ee477c#rd</x:v>
      </x:c>
    </x:row>
    <x:row r="545">
      <x:c r="A545" s="36" t="d">
        <x:v>2026-06-28T00:00:00.000Z</x:v>
      </x:c>
      <x:c r="B545" s="48" t="n">
        <x:v>162.98</x:v>
      </x:c>
      <x:c r="C545" s="48" t="n">
        <x:v>31.21</x:v>
      </x:c>
      <x:c r="D545" s="48" t="n">
        <x:v>97.16</x:v>
      </x:c>
      <x:c r="E545" s="48" t="n">
        <x:v>51.67</x:v>
      </x:c>
      <x:c r="F545" s="48" t="n">
        <x:v>357</x:v>
      </x:c>
      <x:c r="G545" s="48" t="n">
        <x:v>0</x:v>
      </x:c>
      <x:c r="H545" s="48" t="n">
        <x:v>357</x:v>
      </x:c>
      <x:c r="I545" s="48" t="n">
        <x:v>0</x:v>
      </x:c>
      <x:c r="J545" s="48" t="n">
        <x:v>320</x:v>
      </x:c>
      <x:c r="K545" s="48" t="n">
        <x:v>0</x:v>
      </x:c>
      <x:c r="L545" s="48" t="n">
        <x:v>320</x:v>
      </x:c>
      <x:c r="M545" s="48" t="n">
        <x:v>0</x:v>
      </x:c>
      <x:c r="N545" s="48" t="n">
        <x:v>0.53</x:v>
      </x:c>
      <x:c r="O545" s="48" t="n">
        <x:v>0.98</x:v>
      </x:c>
      <x:c r="P545" s="48" t="n">
        <x:v>0.65</x:v>
      </x:c>
      <x:c r="Q545" s="48" t="n">
        <x:v>0.92</x:v>
      </x:c>
      <x:c r="R545" s="31" t="str">
        <x:v>ok</x:v>
      </x:c>
      <x:c r="S545" s="51" t="n">
        <x:v>0.999994695186615</x:v>
      </x:c>
      <x:c r="T545" s="31" t="str">
        <x:v>https://mp.weixin.qq.com/s?__biz=MzUxOTMxNjk0OQ==&amp;mid=2247507713&amp;idx=1&amp;sn=f3af4627255312b772e6f22f54284361&amp;chksm=f9f9ebbbce8e62ad46a08ad48302c05483ec07bd0a3f23cc176c093d1297d21d5ff97e7d4b35#rd</x:v>
      </x:c>
    </x:row>
    <x:row r="546">
      <x:c r="A546" s="36" t="d">
        <x:v>2026-06-29T00:00:00.000Z</x:v>
      </x:c>
      <x:c r="B546" s="48" t="n">
        <x:v>174.4</x:v>
      </x:c>
      <x:c r="C546" s="48" t="n">
        <x:v>44.5</x:v>
      </x:c>
      <x:c r="D546" s="48" t="n">
        <x:v>125.21</x:v>
      </x:c>
      <x:c r="E546" s="48" t="n">
        <x:v>75.25</x:v>
      </x:c>
      <x:c r="F546" s="48" t="n">
        <x:v>472.12</x:v>
      </x:c>
      <x:c r="G546" s="48" t="n">
        <x:v>0</x:v>
      </x:c>
      <x:c r="H546" s="48" t="n">
        <x:v>541.32</x:v>
      </x:c>
      <x:c r="I546" s="48" t="n">
        <x:v>0</x:v>
      </x:c>
      <x:c r="J546" s="48" t="n">
        <x:v>384.94</x:v>
      </x:c>
      <x:c r="K546" s="48" t="n">
        <x:v>0</x:v>
      </x:c>
      <x:c r="L546" s="48" t="n">
        <x:v>384.94</x:v>
      </x:c>
      <x:c r="M546" s="48" t="n">
        <x:v>0</x:v>
      </x:c>
      <x:c r="N546" s="48" t="n">
        <x:v>0.54</x:v>
      </x:c>
      <x:c r="O546" s="48" t="n">
        <x:v>1.01</x:v>
      </x:c>
      <x:c r="P546" s="48" t="n">
        <x:v>0.65</x:v>
      </x:c>
      <x:c r="Q546" s="48" t="n">
        <x:v>0.92</x:v>
      </x:c>
      <x:c r="R546" s="31" t="str">
        <x:v>ok</x:v>
      </x:c>
      <x:c r="S546" s="51" t="n">
        <x:v>0.9999762773513794</x:v>
      </x:c>
      <x:c r="T546" s="31" t="str">
        <x:v>https://mp.weixin.qq.com/s?__biz=MzUxOTMxNjk0OQ==&amp;mid=2247507731&amp;idx=1&amp;sn=d2400d187e8e4b33959e97dc7acdf554&amp;chksm=f9f9eba9ce8e62bf9d1c1df35ee47f6e3a38634a67f6899ac203eff7adab16457b70408bd62a#rd</x:v>
      </x:c>
    </x:row>
    <x:row r="547">
      <x:c r="A547" s="36" t="d">
        <x:v>2026-06-30T00:00:00.000Z</x:v>
      </x:c>
      <x:c r="B547" s="48" t="n">
        <x:v>272.65</x:v>
      </x:c>
      <x:c r="C547" s="48" t="n">
        <x:v>118.1</x:v>
      </x:c>
      <x:c r="D547" s="48" t="n">
        <x:v>230.72</x:v>
      </x:c>
      <x:c r="E547" s="48" t="n">
        <x:v>112.17</x:v>
      </x:c>
      <x:c r="F547" s="48" t="n">
        <x:v>525</x:v>
      </x:c>
      <x:c r="G547" s="48" t="n">
        <x:v>0</x:v>
      </x:c>
      <x:c r="H547" s="48" t="n">
        <x:v>525</x:v>
      </x:c>
      <x:c r="I547" s="48" t="n">
        <x:v>0</x:v>
      </x:c>
      <x:c r="J547" s="48" t="n">
        <x:v>400</x:v>
      </x:c>
      <x:c r="K547" s="48" t="n">
        <x:v>0</x:v>
      </x:c>
      <x:c r="L547" s="48" t="n">
        <x:v>400</x:v>
      </x:c>
      <x:c r="M547" s="48" t="n">
        <x:v>0</x:v>
      </x:c>
      <x:c r="N547" s="48" t="n">
        <x:v>0.39</x:v>
      </x:c>
      <x:c r="O547" s="48" t="n">
        <x:v>1.06</x:v>
      </x:c>
      <x:c r="P547" s="48" t="n">
        <x:v>0.45</x:v>
      </x:c>
      <x:c r="Q547" s="48" t="n">
        <x:v>0.99</x:v>
      </x:c>
      <x:c r="R547" s="31" t="str">
        <x:v>ok</x:v>
      </x:c>
      <x:c r="S547" s="51" t="n">
        <x:v>0.9999791383743286</x:v>
      </x:c>
      <x:c r="T547" s="31" t="str">
        <x:v>https://mp.weixin.qq.com/s?__biz=MzUxOTMxNjk0OQ==&amp;mid=2247507745&amp;idx=1&amp;sn=88ef837e3d57bd83e03d640524ddd846&amp;chksm=f9f9eb9bce8e628da577c4df665cc360b5bdb9d658f6d958fb5f07ef081cc3768aeac26abaf2#rd</x:v>
      </x:c>
    </x:row>
    <x:row r="548">
      <x:c r="A548" s="36" t="d">
        <x:v>2026-07-01T00:00:00.000Z</x:v>
      </x:c>
      <x:c r="B548" s="48" t="n">
        <x:v>291.92</x:v>
      </x:c>
      <x:c r="C548" s="48" t="n">
        <x:v>65.44</x:v>
      </x:c>
      <x:c r="D548" s="48" t="n">
        <x:v>312.1</x:v>
      </x:c>
      <x:c r="E548" s="48" t="n">
        <x:v>119.57</x:v>
      </x:c>
      <x:c r="F548" s="48" t="n">
        <x:v>450</x:v>
      </x:c>
      <x:c r="G548" s="48" t="n">
        <x:v>0</x:v>
      </x:c>
      <x:c r="H548" s="48" t="n">
        <x:v>450</x:v>
      </x:c>
      <x:c r="I548" s="48" t="n">
        <x:v>0</x:v>
      </x:c>
      <x:c r="J548" s="48" t="n">
        <x:v>525</x:v>
      </x:c>
      <x:c r="K548" s="48" t="n">
        <x:v>0</x:v>
      </x:c>
      <x:c r="L548" s="48" t="n">
        <x:v>525</x:v>
      </x:c>
      <x:c r="M548" s="48" t="n">
        <x:v>0</x:v>
      </x:c>
      <x:c r="N548" s="48" t="n">
        <x:v>0.14</x:v>
      </x:c>
      <x:c r="O548" s="48" t="n">
        <x:v>1.07</x:v>
      </x:c>
      <x:c r="P548" s="48" t="n">
        <x:v>0.17</x:v>
      </x:c>
      <x:c r="Q548" s="48" t="n">
        <x:v>1</x:v>
      </x:c>
      <x:c r="R548" s="31" t="str">
        <x:v>ok</x:v>
      </x:c>
      <x:c r="S548" s="51" t="n">
        <x:v>0.9995351433753967</x:v>
      </x:c>
      <x:c r="T548" s="31" t="str">
        <x:v>https://mp.weixin.qq.com/s?__biz=MzUxOTMxNjk0OQ==&amp;mid=2247507750&amp;idx=1&amp;sn=80aec8769199a8fe5df587d240bf8569&amp;chksm=f9f9eb9cce8e628a782b8712d30066a6472167063b8a9f7c4e677f68173c159a8943ee32eae1#rd</x:v>
      </x:c>
    </x:row>
    <x:row r="549">
      <x:c r="A549" s="36" t="d">
        <x:v>2026-07-02T00:00:00.000Z</x:v>
      </x:c>
      <x:c r="B549" s="48" t="n">
        <x:v>289.91</x:v>
      </x:c>
      <x:c r="C549" s="48" t="n">
        <x:v>173.01</x:v>
      </x:c>
      <x:c r="D549" s="48" t="n">
        <x:v>268.82</x:v>
      </x:c>
      <x:c r="E549" s="48" t="n">
        <x:v>176.77</x:v>
      </x:c>
      <x:c r="F549" s="48" t="n">
        <x:v>549.39</x:v>
      </x:c>
      <x:c r="G549" s="48" t="n">
        <x:v>0</x:v>
      </x:c>
      <x:c r="H549" s="48" t="n">
        <x:v>549.39</x:v>
      </x:c>
      <x:c r="I549" s="48" t="n">
        <x:v>0</x:v>
      </x:c>
      <x:c r="J549" s="48" t="n">
        <x:v>483.92</x:v>
      </x:c>
      <x:c r="K549" s="48" t="n">
        <x:v>0</x:v>
      </x:c>
      <x:c r="L549" s="48" t="n">
        <x:v>483.92</x:v>
      </x:c>
      <x:c r="M549" s="48" t="n">
        <x:v>0</x:v>
      </x:c>
      <x:c r="N549" s="48" t="n">
        <x:v>0.38</x:v>
      </x:c>
      <x:c r="O549" s="48" t="n">
        <x:v>0.93</x:v>
      </x:c>
      <x:c r="P549" s="48" t="n">
        <x:v>0.49</x:v>
      </x:c>
      <x:c r="Q549" s="48" t="n">
        <x:v>0.81</x:v>
      </x:c>
      <x:c r="R549" s="31" t="str">
        <x:v>ok</x:v>
      </x:c>
      <x:c r="S549" s="51" t="n">
        <x:v>0.9999940395355225</x:v>
      </x:c>
      <x:c r="T549" s="31" t="str">
        <x:v>https://mp.weixin.qq.com/s?__biz=MzUxOTMxNjk0OQ==&amp;mid=2247507775&amp;idx=1&amp;sn=6dc8b89b29c07fc336e74e440306348c&amp;chksm=f9f9eb85ce8e62938529efeeac013946c568922fac20a597b91a529f1cb9ee6975d864616538#rd</x:v>
      </x:c>
    </x:row>
    <x:row r="550">
      <x:c r="A550" s="36" t="d">
        <x:v>2026-07-03T00:00:00.000Z</x:v>
      </x:c>
      <x:c r="B550" s="48" t="n">
        <x:v>277.09</x:v>
      </x:c>
      <x:c r="C550" s="48" t="n">
        <x:v>50.02</x:v>
      </x:c>
      <x:c r="D550" s="48" t="n">
        <x:v>290.51</x:v>
      </x:c>
      <x:c r="E550" s="48" t="n">
        <x:v>75.27</x:v>
      </x:c>
      <x:c r="F550" s="48" t="n">
        <x:v>372</x:v>
      </x:c>
      <x:c r="G550" s="48" t="n">
        <x:v>0</x:v>
      </x:c>
      <x:c r="H550" s="48" t="n">
        <x:v>372</x:v>
      </x:c>
      <x:c r="I550" s="48" t="n">
        <x:v>0</x:v>
      </x:c>
      <x:c r="J550" s="48" t="n">
        <x:v>470</x:v>
      </x:c>
      <x:c r="K550" s="48" t="n">
        <x:v>0</x:v>
      </x:c>
      <x:c r="L550" s="48" t="n">
        <x:v>470</x:v>
      </x:c>
      <x:c r="M550" s="48" t="n">
        <x:v>0</x:v>
      </x:c>
      <x:c r="N550" s="48" t="n">
        <x:v>0.41</x:v>
      </x:c>
      <x:c r="O550" s="48" t="n">
        <x:v>0.91</x:v>
      </x:c>
      <x:c r="P550" s="48" t="n">
        <x:v>0.45</x:v>
      </x:c>
      <x:c r="Q550" s="48" t="n">
        <x:v>1.06</x:v>
      </x:c>
      <x:c r="R550" s="31" t="str">
        <x:v>ok</x:v>
      </x:c>
      <x:c r="S550" s="51" t="n">
        <x:v>0.9999820590019226</x:v>
      </x:c>
      <x:c r="T550" s="31" t="str">
        <x:v>https://mp.weixin.qq.com/s?__biz=MzUxOTMxNjk0OQ==&amp;mid=2247507787&amp;idx=1&amp;sn=69631a3f131f22782962e9683b191e47&amp;chksm=f9f9ebf1ce8e62e703f908c0d5a1fb3ab9401b080e60804e3661f2fe029651f142ab18725345#rd</x:v>
      </x:c>
    </x:row>
    <x:row r="551">
      <x:c r="A551" s="36" t="d">
        <x:v>2026-07-04T00:00:00.000Z</x:v>
      </x:c>
      <x:c r="B551" s="48" t="n">
        <x:v>288.19</x:v>
      </x:c>
      <x:c r="C551" s="48" t="n">
        <x:v>61.88</x:v>
      </x:c>
      <x:c r="D551" s="48" t="n">
        <x:v>281.1</x:v>
      </x:c>
      <x:c r="E551" s="48" t="n">
        <x:v>80.88</x:v>
      </x:c>
      <x:c r="F551" s="48" t="n">
        <x:v>431</x:v>
      </x:c>
      <x:c r="G551" s="48" t="n">
        <x:v>0</x:v>
      </x:c>
      <x:c r="H551" s="48" t="n">
        <x:v>431</x:v>
      </x:c>
      <x:c r="I551" s="48" t="n">
        <x:v>0</x:v>
      </x:c>
      <x:c r="J551" s="48" t="n">
        <x:v>575.17</x:v>
      </x:c>
      <x:c r="K551" s="48" t="n">
        <x:v>0</x:v>
      </x:c>
      <x:c r="L551" s="48" t="n">
        <x:v>575.17</x:v>
      </x:c>
      <x:c r="M551" s="48" t="n">
        <x:v>0</x:v>
      </x:c>
      <x:c r="N551" s="48" t="n">
        <x:v>0.56</x:v>
      </x:c>
      <x:c r="O551" s="48" t="n">
        <x:v>1.03</x:v>
      </x:c>
      <x:c r="P551" s="48" t="n">
        <x:v>0.59</x:v>
      </x:c>
      <x:c r="Q551" s="48" t="n">
        <x:v>1.03</x:v>
      </x:c>
      <x:c r="R551" s="31" t="str">
        <x:v>ok</x:v>
      </x:c>
      <x:c r="S551" s="51" t="n">
        <x:v>0.9939772486686707</x:v>
      </x:c>
      <x:c r="T551" s="31" t="str">
        <x:v>https://mp.weixin.qq.com/s?__biz=MzUxOTMxNjk0OQ==&amp;mid=2247507789&amp;idx=1&amp;sn=ea3c60296571e3c89dad1788c4b30f69&amp;chksm=f9f9ebf7ce8e62e1ebada0085d075117025d07b9309cbc9e4ab6c357f251336c076d3ea07360#rd</x:v>
      </x:c>
    </x:row>
    <x:row r="552">
      <x:c r="A552" s="36" t="d">
        <x:v>2026-07-05T00:00:00.000Z</x:v>
      </x:c>
      <x:c r="B552" s="48" t="n">
        <x:v>294.59</x:v>
      </x:c>
      <x:c r="C552" s="48" t="n">
        <x:v>55.35</x:v>
      </x:c>
      <x:c r="D552" s="48" t="n">
        <x:v>343.87</x:v>
      </x:c>
      <x:c r="E552" s="48" t="n">
        <x:v>77.94</x:v>
      </x:c>
      <x:c r="F552" s="48" t="n">
        <x:v>475</x:v>
      </x:c>
      <x:c r="G552" s="48" t="n">
        <x:v>0</x:v>
      </x:c>
      <x:c r="H552" s="48" t="n">
        <x:v>475</x:v>
      </x:c>
      <x:c r="I552" s="48" t="n">
        <x:v>0</x:v>
      </x:c>
      <x:c r="J552" s="48" t="n">
        <x:v>619</x:v>
      </x:c>
      <x:c r="K552" s="48" t="n">
        <x:v>0</x:v>
      </x:c>
      <x:c r="L552" s="48" t="n">
        <x:v>619</x:v>
      </x:c>
      <x:c r="M552" s="48" t="n">
        <x:v>0</x:v>
      </x:c>
      <x:c r="N552" s="48" t="n">
        <x:v>0.52</x:v>
      </x:c>
      <x:c r="O552" s="48" t="n">
        <x:v>1.02</x:v>
      </x:c>
      <x:c r="P552" s="48" t="n">
        <x:v>0.51</x:v>
      </x:c>
      <x:c r="Q552" s="48" t="n">
        <x:v>1.06</x:v>
      </x:c>
      <x:c r="R552" s="31" t="str">
        <x:v>ok</x:v>
      </x:c>
      <x:c r="S552" s="51" t="n">
        <x:v>0.9999778270721436</x:v>
      </x:c>
      <x:c r="T552" s="31" t="str">
        <x:v>https://mp.weixin.qq.com/s?__biz=MzUxOTMxNjk0OQ==&amp;mid=2247507793&amp;idx=1&amp;sn=d8e50f5bbae2f194ebbfdf0adb9f4e5d&amp;chksm=f9f9ebebce8e62fd952917336de5bcc9cf6f2da0834891bfbcab1d50a3ab89ce9b493e58e674#rd</x:v>
      </x:c>
    </x:row>
    <x:row r="553">
      <x:c r="A553" s="36" t="d">
        <x:v>2026-07-06T00:00:00.000Z</x:v>
      </x:c>
      <x:c r="B553" s="48" t="n">
        <x:v>361.41</x:v>
      </x:c>
      <x:c r="C553" s="48" t="n">
        <x:v>143.26</x:v>
      </x:c>
      <x:c r="D553" s="48" t="n">
        <x:v>411.87</x:v>
      </x:c>
      <x:c r="E553" s="48" t="n">
        <x:v>221.92</x:v>
      </x:c>
      <x:c r="F553" s="48" t="n">
        <x:v>671.11</x:v>
      </x:c>
      <x:c r="G553" s="48" t="n">
        <x:v>0</x:v>
      </x:c>
      <x:c r="H553" s="48" t="n">
        <x:v>671.11</x:v>
      </x:c>
      <x:c r="I553" s="48" t="n">
        <x:v>0</x:v>
      </x:c>
      <x:c r="J553" s="48" t="n">
        <x:v>1000</x:v>
      </x:c>
      <x:c r="K553" s="48" t="n">
        <x:v>0</x:v>
      </x:c>
      <x:c r="L553" s="48" t="n">
        <x:v>1000</x:v>
      </x:c>
      <x:c r="M553" s="48" t="n">
        <x:v>0</x:v>
      </x:c>
      <x:c r="N553" s="48" t="n">
        <x:v>0.26</x:v>
      </x:c>
      <x:c r="O553" s="48" t="n">
        <x:v>1.12</x:v>
      </x:c>
      <x:c r="P553" s="48" t="n">
        <x:v>0.24</x:v>
      </x:c>
      <x:c r="Q553" s="48" t="n">
        <x:v>1.04</x:v>
      </x:c>
      <x:c r="R553" s="31" t="str">
        <x:v>ok</x:v>
      </x:c>
      <x:c r="S553" s="51" t="n">
        <x:v>0.962441086769104</x:v>
      </x:c>
      <x:c r="T553" s="31" t="str">
        <x:v>https://mp.weixin.qq.com/s?__biz=MzUxOTMxNjk0OQ==&amp;mid=2247507798&amp;idx=1&amp;sn=0b5983ea0eee315d40597014733db648&amp;chksm=f9f9ebecce8e62fa882fb49f0334f31348c064fefc7eecbc3b6f4ad2a065ffe51c25869cf114#rd</x:v>
      </x:c>
    </x:row>
    <x:row r="554">
      <x:c r="A554" s="36" t="d">
        <x:v>2026-07-07T00:00:00.000Z</x:v>
      </x:c>
      <x:c r="B554" s="48" t="n">
        <x:v>403.46</x:v>
      </x:c>
      <x:c r="C554" s="48" t="n">
        <x:v>190.65</x:v>
      </x:c>
      <x:c r="D554" s="48" t="n">
        <x:v>315.19</x:v>
      </x:c>
      <x:c r="E554" s="48" t="n">
        <x:v>149.38</x:v>
      </x:c>
      <x:c r="F554" s="48" t="n">
        <x:v>627.85</x:v>
      </x:c>
      <x:c r="G554" s="48" t="n">
        <x:v>0</x:v>
      </x:c>
      <x:c r="H554" s="48" t="n">
        <x:v>864.08</x:v>
      </x:c>
      <x:c r="I554" s="48" t="n">
        <x:v>0</x:v>
      </x:c>
      <x:c r="J554" s="48" t="n">
        <x:v>531.99</x:v>
      </x:c>
      <x:c r="K554" s="48" t="n">
        <x:v>0</x:v>
      </x:c>
      <x:c r="L554" s="48" t="n">
        <x:v>531.99</x:v>
      </x:c>
      <x:c r="M554" s="48" t="n">
        <x:v>0</x:v>
      </x:c>
      <x:c r="N554" s="48" t="n">
        <x:v>0.18</x:v>
      </x:c>
      <x:c r="O554" s="48" t="n">
        <x:v>1.13</x:v>
      </x:c>
      <x:c r="P554" s="48" t="n">
        <x:v>0.19</x:v>
      </x:c>
      <x:c r="Q554" s="48" t="n">
        <x:v>1.05</x:v>
      </x:c>
      <x:c r="R554" s="31" t="str">
        <x:v>ok</x:v>
      </x:c>
      <x:c r="S554" s="51" t="n">
        <x:v>0.999968409538269</x:v>
      </x:c>
      <x:c r="T554" s="31" t="str">
        <x:v>https://mp.weixin.qq.com/s?__biz=MzUxOTMxNjk0OQ==&amp;mid=2247507880&amp;idx=1&amp;sn=e194cad43cedddd27244aaa5a31d65ba&amp;chksm=f9f9eb12ce8e62049f043155a80650b6aef27bc4a9e3ddd75b8ad1c6483a668c247479ad6b52#rd</x:v>
      </x:c>
    </x:row>
    <x:row r="555">
      <x:c r="A555" s="36" t="d">
        <x:v>2026-07-08T00:00:00.000Z</x:v>
      </x:c>
      <x:c r="B555" s="48" t="n">
        <x:v>401.28</x:v>
      </x:c>
      <x:c r="C555" s="48" t="n">
        <x:v>206.86</x:v>
      </x:c>
      <x:c r="D555" s="48" t="n">
        <x:v>397.62</x:v>
      </x:c>
      <x:c r="E555" s="48" t="n">
        <x:v>212.11</x:v>
      </x:c>
      <x:c r="F555" s="48" t="n">
        <x:v>654.61</x:v>
      </x:c>
      <x:c r="G555" s="48" t="n">
        <x:v>0</x:v>
      </x:c>
      <x:c r="H555" s="48" t="n">
        <x:v>654.61</x:v>
      </x:c>
      <x:c r="I555" s="48" t="n">
        <x:v>0</x:v>
      </x:c>
      <x:c r="J555" s="48" t="n">
        <x:v>1000</x:v>
      </x:c>
      <x:c r="K555" s="48" t="n">
        <x:v>0</x:v>
      </x:c>
      <x:c r="L555" s="48" t="n">
        <x:v>1000</x:v>
      </x:c>
      <x:c r="M555" s="48" t="n">
        <x:v>0</x:v>
      </x:c>
      <x:c r="N555" s="48" t="n">
        <x:v>0.27</x:v>
      </x:c>
      <x:c r="O555" s="48" t="n">
        <x:v>1.05</x:v>
      </x:c>
      <x:c r="P555" s="48" t="n">
        <x:v>0.24</x:v>
      </x:c>
      <x:c r="Q555" s="48" t="n">
        <x:v>1.02</x:v>
      </x:c>
      <x:c r="R555" s="31" t="str">
        <x:v>ok</x:v>
      </x:c>
      <x:c r="S555" s="51" t="n">
        <x:v>0.941230058670044</x:v>
      </x:c>
      <x:c r="T555" s="31" t="str">
        <x:v>https://mp.weixin.qq.com/s?__biz=MzUxOTMxNjk0OQ==&amp;mid=2247507885&amp;idx=1&amp;sn=da01879f16297ff6edc2751ffc493663&amp;chksm=f9f9eb17ce8e62010856b53af11b370ef3018f87a67d0e846b63f40a682ea003ba234267498e#rd</x:v>
      </x:c>
    </x:row>
    <x:row r="556">
      <x:c r="A556" s="36" t="d">
        <x:v>2026-07-09T00:00:00.000Z</x:v>
      </x:c>
      <x:c r="B556" s="48" t="n">
        <x:v>356.37</x:v>
      </x:c>
      <x:c r="C556" s="48" t="n">
        <x:v>210.16</x:v>
      </x:c>
      <x:c r="D556" s="48" t="n">
        <x:v>377.63</x:v>
      </x:c>
      <x:c r="E556" s="48" t="n">
        <x:v>239.02</x:v>
      </x:c>
      <x:c r="F556" s="48" t="n">
        <x:v>677.19</x:v>
      </x:c>
      <x:c r="G556" s="48" t="n">
        <x:v>0</x:v>
      </x:c>
      <x:c r="H556" s="48" t="n">
        <x:v>677.19</x:v>
      </x:c>
      <x:c r="I556" s="48" t="n">
        <x:v>0</x:v>
      </x:c>
      <x:c r="J556" s="48" t="n">
        <x:v>772.25</x:v>
      </x:c>
      <x:c r="K556" s="48" t="n">
        <x:v>0</x:v>
      </x:c>
      <x:c r="L556" s="48" t="n">
        <x:v>772.25</x:v>
      </x:c>
      <x:c r="M556" s="48" t="n">
        <x:v>0</x:v>
      </x:c>
      <x:c r="N556" s="48" t="n">
        <x:v>0.62</x:v>
      </x:c>
      <x:c r="O556" s="48" t="n">
        <x:v>0.92</x:v>
      </x:c>
      <x:c r="P556" s="48" t="n">
        <x:v>0.71</x:v>
      </x:c>
      <x:c r="Q556" s="48" t="n">
        <x:v>0.87</x:v>
      </x:c>
      <x:c r="R556" s="31" t="str">
        <x:v>ok</x:v>
      </x:c>
      <x:c r="S556" s="51" t="n">
        <x:v>0.9999914765357971</x:v>
      </x:c>
      <x:c r="T556" s="31" t="str">
        <x:v>https://mp.weixin.qq.com/s?__biz=MzUxOTMxNjk0OQ==&amp;mid=2247507903&amp;idx=1&amp;sn=86a8a7429b04202a8d0990fa105076d4&amp;chksm=f9f9eb05ce8e6213ff5fbae160336d7da63a98524ee5ca5a2065fca568bed32e632f262a58ad#rd</x:v>
      </x:c>
    </x:row>
    <x:row r="557">
      <x:c r="A557" s="36" t="d">
        <x:v>2026-07-10T00:00:00.000Z</x:v>
      </x:c>
      <x:c r="B557" s="48" t="n">
        <x:v>361.2</x:v>
      </x:c>
      <x:c r="C557" s="48" t="n">
        <x:v>309.48</x:v>
      </x:c>
      <x:c r="D557" s="48" t="n">
        <x:v>316.88</x:v>
      </x:c>
      <x:c r="E557" s="48" t="n">
        <x:v>288.1</x:v>
      </x:c>
      <x:c r="F557" s="48" t="n">
        <x:v>1000</x:v>
      </x:c>
      <x:c r="G557" s="48" t="n">
        <x:v>0</x:v>
      </x:c>
      <x:c r="H557" s="48" t="n">
        <x:v>1000</x:v>
      </x:c>
      <x:c r="I557" s="48" t="n">
        <x:v>0</x:v>
      </x:c>
      <x:c r="J557" s="48" t="n">
        <x:v>783.68</x:v>
      </x:c>
      <x:c r="K557" s="48" t="n">
        <x:v>0</x:v>
      </x:c>
      <x:c r="L557" s="48" t="n">
        <x:v>783.68</x:v>
      </x:c>
      <x:c r="M557" s="48" t="n">
        <x:v>0</x:v>
      </x:c>
      <x:c r="N557" s="48" t="n">
        <x:v>0.52</x:v>
      </x:c>
      <x:c r="O557" s="48" t="n">
        <x:v>0.72</x:v>
      </x:c>
      <x:c r="P557" s="48" t="n">
        <x:v>0.63</x:v>
      </x:c>
      <x:c r="Q557" s="48" t="n">
        <x:v>0.65</x:v>
      </x:c>
      <x:c r="R557" s="31" t="str">
        <x:v>ok</x:v>
      </x:c>
      <x:c r="S557" s="51" t="n">
        <x:v>0.9820660352706909</x:v>
      </x:c>
      <x:c r="T557" s="31" t="str">
        <x:v>https://mp.weixin.qq.com/s?__biz=MzUxOTMxNjk0OQ==&amp;mid=2247507906&amp;idx=1&amp;sn=0c4356c90cc4aadc8d9f840eb8ac3193&amp;chksm=f9f9eb78ce8e626eecbcf4a167cda867e8b26504e60cbf8c0d0fdc2eb6082280f8e2d59db35b#rd</x:v>
      </x:c>
    </x:row>
    <x:row r="558">
      <x:c r="A558" s="36" t="d">
        <x:v>2026-07-11T00:00:00.000Z</x:v>
      </x:c>
      <x:c r="B558" s="48" t="n">
        <x:v>319.82</x:v>
      </x:c>
      <x:c r="C558" s="48" t="n">
        <x:v>253.97</x:v>
      </x:c>
      <x:c r="D558" s="48" t="n">
        <x:v>314.74</x:v>
      </x:c>
      <x:c r="E558" s="48" t="n">
        <x:v>262.02</x:v>
      </x:c>
      <x:c r="F558" s="48" t="n">
        <x:v>537</x:v>
      </x:c>
      <x:c r="G558" s="48" t="n">
        <x:v>0</x:v>
      </x:c>
      <x:c r="H558" s="48" t="n">
        <x:v>537</x:v>
      </x:c>
      <x:c r="I558" s="48" t="n">
        <x:v>0</x:v>
      </x:c>
      <x:c r="J558" s="48" t="n">
        <x:v>550</x:v>
      </x:c>
      <x:c r="K558" s="48" t="n">
        <x:v>0</x:v>
      </x:c>
      <x:c r="L558" s="48" t="n">
        <x:v>550</x:v>
      </x:c>
      <x:c r="M558" s="48" t="n">
        <x:v>0</x:v>
      </x:c>
      <x:c r="N558" s="48" t="n">
        <x:v>0.3</x:v>
      </x:c>
      <x:c r="O558" s="48" t="n">
        <x:v>0.57</x:v>
      </x:c>
      <x:c r="P558" s="48" t="n">
        <x:v>0.38</x:v>
      </x:c>
      <x:c r="Q558" s="48" t="n">
        <x:v>0.53</x:v>
      </x:c>
      <x:c r="R558" s="31" t="str">
        <x:v>ok</x:v>
      </x:c>
      <x:c r="S558" s="51" t="n">
        <x:v>0.9999964833259583</x:v>
      </x:c>
      <x:c r="T558" s="31" t="str">
        <x:v>https://mp.weixin.qq.com/s?__biz=MzUxOTMxNjk0OQ==&amp;mid=2247507908&amp;idx=1&amp;sn=7e64f0f6b12e54c5052f2f59feda9324&amp;chksm=f9f9eb7ece8e62688660a3b0c7b6611e61b0eb4948a7cbe5d54721c41b6716a99095cf8d55ba#rd</x:v>
      </x:c>
    </x:row>
    <x:row r="559">
      <x:c r="A559" s="36" t="d">
        <x:v>2026-07-12T00:00:00.000Z</x:v>
      </x:c>
      <x:c r="B559" s="48" t="n">
        <x:v>312.52</x:v>
      </x:c>
      <x:c r="C559" s="48" t="n">
        <x:v>197.76</x:v>
      </x:c>
      <x:c r="D559" s="48" t="n">
        <x:v>324.06</x:v>
      </x:c>
      <x:c r="E559" s="48" t="n">
        <x:v>139.34</x:v>
      </x:c>
      <x:c r="F559" s="48" t="n">
        <x:v>530</x:v>
      </x:c>
      <x:c r="G559" s="48" t="n">
        <x:v>0</x:v>
      </x:c>
      <x:c r="H559" s="48" t="n">
        <x:v>530</x:v>
      </x:c>
      <x:c r="I559" s="48" t="n">
        <x:v>0</x:v>
      </x:c>
      <x:c r="J559" s="48" t="n">
        <x:v>553</x:v>
      </x:c>
      <x:c r="K559" s="48" t="n">
        <x:v>0</x:v>
      </x:c>
      <x:c r="L559" s="48" t="n">
        <x:v>553</x:v>
      </x:c>
      <x:c r="M559" s="48" t="n">
        <x:v>0</x:v>
      </x:c>
      <x:c r="N559" s="48" t="n">
        <x:v>0.27</x:v>
      </x:c>
      <x:c r="O559" s="48" t="n">
        <x:v>0.8</x:v>
      </x:c>
      <x:c r="P559" s="48" t="n">
        <x:v>0.21</x:v>
      </x:c>
      <x:c r="Q559" s="48" t="n">
        <x:v>0.82</x:v>
      </x:c>
      <x:c r="R559" s="31" t="str">
        <x:v>ok</x:v>
      </x:c>
      <x:c r="S559" s="51" t="n">
        <x:v>0.9999969601631165</x:v>
      </x:c>
      <x:c r="T559" s="31" t="str">
        <x:v>https://mp.weixin.qq.com/s?__biz=MzUxOTMxNjk0OQ==&amp;mid=2247507912&amp;idx=1&amp;sn=39617884d193127d9fb38ff5e817c67d&amp;chksm=f9f9eb72ce8e626452b507423e4781d292f0ec6c904bcda02574f6c1e571dc94ee79b62ae87b#rd</x:v>
      </x:c>
    </x:row>
    <x:row r="560">
      <x:c r="A560" s="36" t="d">
        <x:v>2026-07-13T00:00:00.000Z</x:v>
      </x:c>
      <x:c r="B560" s="48" t="n">
        <x:v>334.28</x:v>
      </x:c>
      <x:c r="C560" s="48" t="n">
        <x:v>122.91</x:v>
      </x:c>
      <x:c r="D560" s="48" t="n">
        <x:v>426.45</x:v>
      </x:c>
      <x:c r="E560" s="48" t="n">
        <x:v>197.21</x:v>
      </x:c>
      <x:c r="F560" s="48" t="n">
        <x:v>511</x:v>
      </x:c>
      <x:c r="G560" s="48" t="n">
        <x:v>0</x:v>
      </x:c>
      <x:c r="H560" s="48" t="n">
        <x:v>511</x:v>
      </x:c>
      <x:c r="I560" s="48" t="n">
        <x:v>0</x:v>
      </x:c>
      <x:c r="J560" s="48" t="n">
        <x:v>1000</x:v>
      </x:c>
      <x:c r="K560" s="48" t="n">
        <x:v>0</x:v>
      </x:c>
      <x:c r="L560" s="48" t="n">
        <x:v>1000</x:v>
      </x:c>
      <x:c r="M560" s="48" t="n">
        <x:v>0</x:v>
      </x:c>
      <x:c r="N560" s="48" t="n">
        <x:v>0.23</x:v>
      </x:c>
      <x:c r="O560" s="48" t="n">
        <x:v>1.08</x:v>
      </x:c>
      <x:c r="P560" s="48" t="n">
        <x:v>0.25</x:v>
      </x:c>
      <x:c r="Q560" s="48" t="n">
        <x:v>1.01</x:v>
      </x:c>
      <x:c r="R560" s="31" t="str">
        <x:v>ok</x:v>
      </x:c>
      <x:c r="S560" s="51" t="n">
        <x:v>0.9999830722808838</x:v>
      </x:c>
      <x:c r="T560" s="31" t="str">
        <x:v>https://mp.weixin.qq.com/s?__biz=MzUxOTMxNjk0OQ==&amp;mid=2247507987&amp;idx=4&amp;sn=e89339068b1faf698dca418b3ab737d6&amp;chksm=f9f994a9ce8e1dbf18c9c8bb2de21c7f36aea098c7f2ada3f82d298ae25453aa291c6fa0c8ef#rd</x:v>
      </x:c>
    </x:row>
    <x:row r="561">
      <x:c r="A561" s="36" t="d">
        <x:v>2026-07-14T00:00:00.000Z</x:v>
      </x:c>
      <x:c r="B561" s="48" t="n">
        <x:v>350.34</x:v>
      </x:c>
      <x:c r="C561" s="48" t="n">
        <x:v>278.91</x:v>
      </x:c>
      <x:c r="D561" s="48" t="n">
        <x:v>320.4</x:v>
      </x:c>
      <x:c r="E561" s="48" t="n">
        <x:v>284.1</x:v>
      </x:c>
      <x:c r="F561" s="48" t="n">
        <x:v>630</x:v>
      </x:c>
      <x:c r="G561" s="48" t="n">
        <x:v>0</x:v>
      </x:c>
      <x:c r="H561" s="48" t="n">
        <x:v>630</x:v>
      </x:c>
      <x:c r="I561" s="48" t="n">
        <x:v>0</x:v>
      </x:c>
      <x:c r="J561" s="48" t="n">
        <x:v>1000</x:v>
      </x:c>
      <x:c r="K561" s="48" t="n">
        <x:v>0</x:v>
      </x:c>
      <x:c r="L561" s="48" t="n">
        <x:v>1000</x:v>
      </x:c>
      <x:c r="M561" s="48" t="n">
        <x:v>0</x:v>
      </x:c>
      <x:c r="N561" s="48" t="n">
        <x:v>0.42</x:v>
      </x:c>
      <x:c r="O561" s="48" t="n">
        <x:v>0.63</x:v>
      </x:c>
      <x:c r="P561" s="48" t="n">
        <x:v>0.62</x:v>
      </x:c>
      <x:c r="Q561" s="48" t="n">
        <x:v>0.57</x:v>
      </x:c>
      <x:c r="R561" s="31" t="str">
        <x:v>ok</x:v>
      </x:c>
      <x:c r="S561" s="51" t="n">
        <x:v>0.9829785823822021</x:v>
      </x:c>
      <x:c r="T561" s="31" t="str">
        <x:v>https://mp.weixin.qq.com/s?__biz=MzUxOTMxNjk0OQ==&amp;mid=2247508011&amp;idx=1&amp;sn=ff767ac3be2f3463fe387ef7876ee952&amp;chksm=f9f99491ce8e1d87189a271a7383c7159391bcb6a6ce5911cbdfe69e316950eab218b1dda63d#rd</x:v>
      </x:c>
    </x:row>
    <x:row r="562">
      <x:c r="A562" s="36" t="d">
        <x:v>2026-07-15T00:00:00.000Z</x:v>
      </x:c>
      <x:c r="B562" s="48" t="n">
        <x:v>302.01</x:v>
      </x:c>
      <x:c r="C562" s="48" t="n">
        <x:v>132.78</x:v>
      </x:c>
      <x:c r="D562" s="48" t="n">
        <x:v>309.58</x:v>
      </x:c>
      <x:c r="E562" s="48" t="n">
        <x:v>180.47</x:v>
      </x:c>
      <x:c r="F562" s="48" t="n">
        <x:v>450</x:v>
      </x:c>
      <x:c r="G562" s="48" t="n">
        <x:v>0</x:v>
      </x:c>
      <x:c r="H562" s="48" t="n">
        <x:v>450</x:v>
      </x:c>
      <x:c r="I562" s="48" t="n">
        <x:v>0</x:v>
      </x:c>
      <x:c r="J562" s="48" t="n">
        <x:v>578</x:v>
      </x:c>
      <x:c r="K562" s="48" t="n">
        <x:v>0</x:v>
      </x:c>
      <x:c r="L562" s="48" t="n">
        <x:v>578</x:v>
      </x:c>
      <x:c r="M562" s="48" t="n">
        <x:v>0</x:v>
      </x:c>
      <x:c r="N562" s="48" t="n">
        <x:v>0.23</x:v>
      </x:c>
      <x:c r="O562" s="48" t="n">
        <x:v>0.95</x:v>
      </x:c>
      <x:c r="P562" s="48" t="n">
        <x:v>0.21</x:v>
      </x:c>
      <x:c r="Q562" s="48" t="n">
        <x:v>0.89</x:v>
      </x:c>
      <x:c r="R562" s="31" t="str">
        <x:v>ok</x:v>
      </x:c>
      <x:c r="S562" s="51" t="n">
        <x:v>0.9999974966049194</x:v>
      </x:c>
      <x:c r="T562" s="31" t="str">
        <x:v>https://mp.weixin.qq.com/s?__biz=MzUxOTMxNjk0OQ==&amp;mid=2247508024&amp;idx=1&amp;sn=811059507b133f41aa178b910f2416e4&amp;chksm=f9f99482ce8e1d94e3921c8e0c6c94978aed59719a7ce64bc14c200efc4ccbf528fe73312225#rd</x:v>
      </x:c>
    </x:row>
    <x:row r="563">
      <x:c r="A563" s="36" t="d">
        <x:v>2026-07-16T00:00:00.000Z</x:v>
      </x:c>
      <x:c r="B563" s="48" t="n">
        <x:v>323.93</x:v>
      </x:c>
      <x:c r="C563" s="48" t="n">
        <x:v>256.75</x:v>
      </x:c>
      <x:c r="D563" s="48" t="n">
        <x:v>314.68</x:v>
      </x:c>
      <x:c r="E563" s="48" t="n">
        <x:v>256.11</x:v>
      </x:c>
      <x:c r="F563" s="48" t="n">
        <x:v>527</x:v>
      </x:c>
      <x:c r="G563" s="48" t="n">
        <x:v>0</x:v>
      </x:c>
      <x:c r="H563" s="48" t="n">
        <x:v>527</x:v>
      </x:c>
      <x:c r="I563" s="48" t="n">
        <x:v>0</x:v>
      </x:c>
      <x:c r="J563" s="48" t="n">
        <x:v>500</x:v>
      </x:c>
      <x:c r="K563" s="48" t="n">
        <x:v>0</x:v>
      </x:c>
      <x:c r="L563" s="48" t="n">
        <x:v>500</x:v>
      </x:c>
      <x:c r="M563" s="48" t="n">
        <x:v>0</x:v>
      </x:c>
      <x:c r="N563" s="48" t="n">
        <x:v>0.31</x:v>
      </x:c>
      <x:c r="O563" s="48" t="n">
        <x:v>0.59</x:v>
      </x:c>
      <x:c r="P563" s="48" t="n">
        <x:v>0.32</x:v>
      </x:c>
      <x:c r="Q563" s="48" t="n">
        <x:v>0.55</x:v>
      </x:c>
      <x:c r="R563" s="31" t="str">
        <x:v>ok</x:v>
      </x:c>
      <x:c r="S563" s="51" t="n">
        <x:v>0.9983668327331543</x:v>
      </x:c>
      <x:c r="T563" s="31" t="str">
        <x:v>https://mp.weixin.qq.com/s?__biz=MzUxOTMxNjk0OQ==&amp;mid=2247508033&amp;idx=1&amp;sn=c7db2c97666b6c72cf91292c63d33b05&amp;chksm=f9f994fbce8e1ded1c3d4742ac42170e3f4b26f03cfaaf96f118c2583d917b749f7b8ea5d43c#rd</x:v>
      </x:c>
    </x:row>
    <x:row r="564">
      <x:c r="A564" s="36" t="d">
        <x:v>2026-07-17T00:00:00.000Z</x:v>
      </x:c>
      <x:c r="B564" s="48" t="n">
        <x:v>324.57</x:v>
      </x:c>
      <x:c r="C564" s="48" t="n">
        <x:v>143.95</x:v>
      </x:c>
      <x:c r="D564" s="48" t="n">
        <x:v>289.34</x:v>
      </x:c>
      <x:c r="E564" s="48" t="n">
        <x:v>121.54</x:v>
      </x:c>
      <x:c r="F564" s="48" t="n">
        <x:v>609</x:v>
      </x:c>
      <x:c r="G564" s="48" t="n">
        <x:v>0</x:v>
      </x:c>
      <x:c r="H564" s="48" t="n">
        <x:v>609</x:v>
      </x:c>
      <x:c r="I564" s="48" t="n">
        <x:v>0</x:v>
      </x:c>
      <x:c r="J564" s="48" t="n">
        <x:v>665.81</x:v>
      </x:c>
      <x:c r="K564" s="48" t="n">
        <x:v>0</x:v>
      </x:c>
      <x:c r="L564" s="48" t="n">
        <x:v>715.74</x:v>
      </x:c>
      <x:c r="M564" s="48" t="n">
        <x:v>0</x:v>
      </x:c>
      <x:c r="N564" s="48" t="n">
        <x:v>0.28</x:v>
      </x:c>
      <x:c r="O564" s="48" t="n">
        <x:v>1.01</x:v>
      </x:c>
      <x:c r="P564" s="48" t="n">
        <x:v>0.32</x:v>
      </x:c>
      <x:c r="Q564" s="48" t="n">
        <x:v>0.94</x:v>
      </x:c>
      <x:c r="R564" s="31" t="str">
        <x:v>ok</x:v>
      </x:c>
      <x:c r="S564" s="51" t="n">
        <x:v>0.99998539686203</x:v>
      </x:c>
      <x:c r="T564" s="31" t="str">
        <x:v>https://mp.weixin.qq.com/s?__biz=MzUxOTMxNjk0OQ==&amp;mid=2247508040&amp;idx=1&amp;sn=4e32776bbbcfb976acf7a5a285cbf60d&amp;chksm=f9f994f2ce8e1de4ded2be2dfb75d2525625a25deeab92d79c7d542064fbfc90d00eecfa9f49#rd</x:v>
      </x:c>
    </x:row>
    <x:row r="565">
      <x:c r="A565" s="36" t="d">
        <x:v>2026-07-18T00:00:00.000Z</x:v>
      </x:c>
      <x:c r="B565" s="48" t="n">
        <x:v>208.41</x:v>
      </x:c>
      <x:c r="C565" s="48" t="n">
        <x:v>112.41</x:v>
      </x:c>
      <x:c r="D565" s="48" t="n">
        <x:v>183.2</x:v>
      </x:c>
      <x:c r="E565" s="48" t="n">
        <x:v>137.69</x:v>
      </x:c>
      <x:c r="F565" s="48" t="n">
        <x:v>672</x:v>
      </x:c>
      <x:c r="G565" s="48" t="n">
        <x:v>0</x:v>
      </x:c>
      <x:c r="H565" s="48" t="n">
        <x:v>672</x:v>
      </x:c>
      <x:c r="I565" s="48" t="n">
        <x:v>0</x:v>
      </x:c>
      <x:c r="J565" s="48" t="n">
        <x:v>652</x:v>
      </x:c>
      <x:c r="K565" s="48" t="n">
        <x:v>0</x:v>
      </x:c>
      <x:c r="L565" s="48" t="n">
        <x:v>652</x:v>
      </x:c>
      <x:c r="M565" s="48" t="n">
        <x:v>0</x:v>
      </x:c>
      <x:c r="N565" s="48" t="n">
        <x:v>0.66</x:v>
      </x:c>
      <x:c r="O565" s="48" t="n">
        <x:v>0.85</x:v>
      </x:c>
      <x:c r="P565" s="48" t="n">
        <x:v>0.58</x:v>
      </x:c>
      <x:c r="Q565" s="48" t="n">
        <x:v>0.74</x:v>
      </x:c>
      <x:c r="R565" s="31" t="str">
        <x:v>ok</x:v>
      </x:c>
      <x:c r="S565" s="51" t="n">
        <x:v>0.998407781124115</x:v>
      </x:c>
      <x:c r="T565" s="31" t="str">
        <x:v>https://mp.weixin.qq.com/s?__biz=MzUxOTMxNjk0OQ==&amp;mid=2247508049&amp;idx=1&amp;sn=3bed5e9cf03a0885956ef90058dcef8a&amp;chksm=f9f994ebce8e1dfd1204b7e52950d8930bbdb1d1e2f0312b29558392ea8f72223cd2d2401f9c#rd</x:v>
      </x:c>
    </x:row>
    <x:row r="566">
      <x:c r="A566" s="36" t="d">
        <x:v>2026-07-19T00:00:00.000Z</x:v>
      </x:c>
      <x:c r="B566" s="48" t="n">
        <x:v>246.03</x:v>
      </x:c>
      <x:c r="C566" s="48" t="n">
        <x:v>60.74</x:v>
      </x:c>
      <x:c r="D566" s="48" t="n">
        <x:v>214.2</x:v>
      </x:c>
      <x:c r="E566" s="48" t="n">
        <x:v>57.07</x:v>
      </x:c>
      <x:c r="F566" s="48" t="n">
        <x:v>571</x:v>
      </x:c>
      <x:c r="G566" s="48" t="n">
        <x:v>0</x:v>
      </x:c>
      <x:c r="H566" s="48" t="n">
        <x:v>571</x:v>
      </x:c>
      <x:c r="I566" s="48" t="n">
        <x:v>0</x:v>
      </x:c>
      <x:c r="J566" s="48" t="n">
        <x:v>579.2</x:v>
      </x:c>
      <x:c r="K566" s="48" t="n">
        <x:v>0</x:v>
      </x:c>
      <x:c r="L566" s="48" t="n">
        <x:v>580.45</x:v>
      </x:c>
      <x:c r="M566" s="48" t="n">
        <x:v>0</x:v>
      </x:c>
      <x:c r="N566" s="48" t="n">
        <x:v>0.5</x:v>
      </x:c>
      <x:c r="O566" s="48" t="n">
        <x:v>0.97</x:v>
      </x:c>
      <x:c r="P566" s="48" t="n">
        <x:v>0.56</x:v>
      </x:c>
      <x:c r="Q566" s="48" t="n">
        <x:v>0.91</x:v>
      </x:c>
      <x:c r="R566" s="31" t="str">
        <x:v>ok</x:v>
      </x:c>
      <x:c r="S566" s="51" t="n">
        <x:v>0.9999931454658508</x:v>
      </x:c>
      <x:c r="T566" s="31" t="str">
        <x:v>https://mp.weixin.qq.com/s?__biz=MzUxOTMxNjk0OQ==&amp;mid=2247508051&amp;idx=1&amp;sn=4c4ff2aed1ac6d240d013a5616379ac7&amp;chksm=f9f994e9ce8e1dff8f3105c021d7a101c275c9e9f58031e2d433e566c090991beca51793e297#rd</x:v>
      </x:c>
    </x:row>
    <x:row r="567">
      <x:c r="A567" s="36" t="d">
        <x:v>2026-07-20T00:00:00.000Z</x:v>
      </x:c>
      <x:c r="B567" s="48" t="n">
        <x:v>233.88</x:v>
      </x:c>
      <x:c r="C567" s="48" t="n">
        <x:v>66.2</x:v>
      </x:c>
      <x:c r="D567" s="48" t="n">
        <x:v>195.78</x:v>
      </x:c>
      <x:c r="E567" s="48" t="n">
        <x:v>133.53</x:v>
      </x:c>
      <x:c r="F567" s="48" t="n">
        <x:v>725</x:v>
      </x:c>
      <x:c r="G567" s="48" t="n">
        <x:v>0</x:v>
      </x:c>
      <x:c r="H567" s="48" t="n">
        <x:v>725</x:v>
      </x:c>
      <x:c r="I567" s="48" t="n">
        <x:v>0</x:v>
      </x:c>
      <x:c r="J567" s="48" t="n">
        <x:v>750</x:v>
      </x:c>
      <x:c r="K567" s="48" t="n">
        <x:v>0</x:v>
      </x:c>
      <x:c r="L567" s="48" t="n">
        <x:v>750</x:v>
      </x:c>
      <x:c r="M567" s="48" t="n">
        <x:v>0</x:v>
      </x:c>
      <x:c r="N567" s="48" t="n">
        <x:v>0.59</x:v>
      </x:c>
      <x:c r="O567" s="48" t="n">
        <x:v>1.02</x:v>
      </x:c>
      <x:c r="P567" s="48" t="n">
        <x:v>0.59</x:v>
      </x:c>
      <x:c r="Q567" s="48" t="n">
        <x:v>0.97</x:v>
      </x:c>
      <x:c r="R567" s="31" t="str">
        <x:v>ok</x:v>
      </x:c>
      <x:c r="S567" s="51" t="n">
        <x:v>0.9999953508377075</x:v>
      </x:c>
      <x:c r="T567" s="31" t="str">
        <x:v>https://mp.weixin.qq.com/s?__biz=MzUxOTMxNjk0OQ==&amp;mid=2247508057&amp;idx=1&amp;sn=444338cd147b12510e0bf32f3059fbd5&amp;chksm=f9f994e3ce8e1df5aa65e4a6b328551004b6754b144a751d549a76facfaa9fcec541244366bf#rd</x:v>
      </x:c>
    </x:row>
    <x:row r="568">
      <x:c r="A568" s="36" t="d">
        <x:v>2026-07-21T00:00:00.000Z</x:v>
      </x:c>
      <x:c r="B568" s="48" t="n">
        <x:v>329.39</x:v>
      </x:c>
      <x:c r="C568" s="48" t="n">
        <x:v>205.62</x:v>
      </x:c>
      <x:c r="D568" s="48" t="n">
        <x:v>318.71</x:v>
      </x:c>
      <x:c r="E568" s="48" t="n">
        <x:v>274.97</x:v>
      </x:c>
      <x:c r="F568" s="48" t="n">
        <x:v>740</x:v>
      </x:c>
      <x:c r="G568" s="48" t="n">
        <x:v>0</x:v>
      </x:c>
      <x:c r="H568" s="48" t="n">
        <x:v>740</x:v>
      </x:c>
      <x:c r="I568" s="48" t="n">
        <x:v>0</x:v>
      </x:c>
      <x:c r="J568" s="48" t="n">
        <x:v>771</x:v>
      </x:c>
      <x:c r="K568" s="48" t="n">
        <x:v>0</x:v>
      </x:c>
      <x:c r="L568" s="48" t="n">
        <x:v>771</x:v>
      </x:c>
      <x:c r="M568" s="48" t="n">
        <x:v>0</x:v>
      </x:c>
      <x:c r="N568" s="48" t="n">
        <x:v>0.6</x:v>
      </x:c>
      <x:c r="O568" s="48" t="n">
        <x:v>0.93</x:v>
      </x:c>
      <x:c r="P568" s="48" t="n">
        <x:v>0.52</x:v>
      </x:c>
      <x:c r="Q568" s="48" t="n">
        <x:v>0.8</x:v>
      </x:c>
      <x:c r="R568" s="31" t="str">
        <x:v>ok</x:v>
      </x:c>
      <x:c r="S568" s="51" t="n">
        <x:v>0.9999950528144836</x:v>
      </x:c>
      <x:c r="T568" s="31" t="str">
        <x:v>https://mp.weixin.qq.com/s?__biz=MzUxOTMxNjk0OQ==&amp;mid=2247508061&amp;idx=1&amp;sn=af73bb2f20736f4826cb5d50df856dc4&amp;chksm=f9f994e7ce8e1df188509f1eb3c4781201f92a00e06892bb4d55615c361e5ecb7c7a6cacbc9a#rd</x:v>
      </x:c>
    </x:row>
    <x:row r="569">
      <x:c r="A569" s="36" t="d">
        <x:v>2026-07-22T00:00:00.000Z</x:v>
      </x:c>
      <x:c r="B569" s="48" t="n">
        <x:v>370.87</x:v>
      </x:c>
      <x:c r="C569" s="48" t="n">
        <x:v>196.16</x:v>
      </x:c>
      <x:c r="D569" s="48" t="n">
        <x:v>260.62</x:v>
      </x:c>
      <x:c r="E569" s="48" t="n">
        <x:v>107.86</x:v>
      </x:c>
      <x:c r="F569" s="48" t="n">
        <x:v>782</x:v>
      </x:c>
      <x:c r="G569" s="48" t="n">
        <x:v>0</x:v>
      </x:c>
      <x:c r="H569" s="48" t="n">
        <x:v>782</x:v>
      </x:c>
      <x:c r="I569" s="48" t="n">
        <x:v>0</x:v>
      </x:c>
      <x:c r="J569" s="48" t="n">
        <x:v>782</x:v>
      </x:c>
      <x:c r="K569" s="48" t="n">
        <x:v>0</x:v>
      </x:c>
      <x:c r="L569" s="48" t="n">
        <x:v>782</x:v>
      </x:c>
      <x:c r="M569" s="48" t="n">
        <x:v>0</x:v>
      </x:c>
      <x:c r="N569" s="48" t="n">
        <x:v>0.72</x:v>
      </x:c>
      <x:c r="O569" s="48" t="n">
        <x:v>1.05</x:v>
      </x:c>
      <x:c r="P569" s="48" t="n">
        <x:v>0.63</x:v>
      </x:c>
      <x:c r="Q569" s="48" t="n">
        <x:v>0.95</x:v>
      </x:c>
      <x:c r="R569" s="31" t="str">
        <x:v>ok</x:v>
      </x:c>
      <x:c r="S569" s="51" t="n">
        <x:v>0.9999964237213135</x:v>
      </x:c>
      <x:c r="T569" s="31" t="str">
        <x:v>https://mp.weixin.qq.com/s?__biz=MzUxOTMxNjk0OQ==&amp;mid=2247508067&amp;idx=1&amp;sn=f0659c22594c60fd53aa60e20afb5b8b&amp;chksm=f9f994d9ce8e1dcf190105fda9c7f1de1aebebc4ab4f437e1a62bfa08a3aa6842a56e8ef233c#rd</x:v>
      </x:c>
    </x:row>
    <x:row r="570">
      <x:c r="A570" s="36" t="d">
        <x:v>2026-07-23T00:00:00.000Z</x:v>
      </x:c>
      <x:c r="B570" s="48" t="n">
        <x:v>340.77</x:v>
      </x:c>
      <x:c r="C570" s="48" t="n">
        <x:v>168.37</x:v>
      </x:c>
      <x:c r="D570" s="48" t="n">
        <x:v>308.68</x:v>
      </x:c>
      <x:c r="E570" s="48" t="n">
        <x:v>131.53</x:v>
      </x:c>
      <x:c r="F570" s="48" t="n">
        <x:v>827</x:v>
      </x:c>
      <x:c r="G570" s="48" t="n">
        <x:v>0</x:v>
      </x:c>
      <x:c r="H570" s="48" t="n">
        <x:v>827</x:v>
      </x:c>
      <x:c r="I570" s="48" t="n">
        <x:v>0</x:v>
      </x:c>
      <x:c r="J570" s="48" t="n">
        <x:v>849</x:v>
      </x:c>
      <x:c r="K570" s="48" t="n">
        <x:v>0</x:v>
      </x:c>
      <x:c r="L570" s="48" t="n">
        <x:v>849</x:v>
      </x:c>
      <x:c r="M570" s="48" t="n">
        <x:v>0</x:v>
      </x:c>
      <x:c r="N570" s="48" t="n">
        <x:v>0.58</x:v>
      </x:c>
      <x:c r="O570" s="48" t="n">
        <x:v>1.06</x:v>
      </x:c>
      <x:c r="P570" s="48" t="n">
        <x:v>0.65</x:v>
      </x:c>
      <x:c r="Q570" s="48" t="n">
        <x:v>0.96</x:v>
      </x:c>
      <x:c r="R570" s="31" t="str">
        <x:v>ok</x:v>
      </x:c>
      <x:c r="S570" s="51" t="n">
        <x:v>0.9999887943267822</x:v>
      </x:c>
      <x:c r="T570" s="31" t="str">
        <x:v>https://mp.weixin.qq.com/s?__biz=MzUxOTMxNjk0OQ==&amp;mid=2247508071&amp;idx=1&amp;sn=b2a78b9a100bcaf20333f1e2e6ed55aa&amp;chksm=f9f994ddce8e1dcbdd069fe4be664b3c39838c31d6fb05ddcd63def9a4bc4201cf2556225e3d#rd</x:v>
      </x:c>
    </x:row>
    <x:row r="571">
      <x:c r="A571" s="36" t="d">
        <x:v>2026-07-24T00:00:00.000Z</x:v>
      </x:c>
      <x:c r="B571" s="48" t="n">
        <x:v>255.89</x:v>
      </x:c>
      <x:c r="C571" s="48" t="n">
        <x:v>97.63</x:v>
      </x:c>
      <x:c r="D571" s="48" t="n">
        <x:v>354.94</x:v>
      </x:c>
      <x:c r="E571" s="48" t="n">
        <x:v>164.98</x:v>
      </x:c>
      <x:c r="F571" s="48" t="n">
        <x:v>522.12</x:v>
      </x:c>
      <x:c r="G571" s="48" t="n">
        <x:v>0</x:v>
      </x:c>
      <x:c r="H571" s="48" t="n">
        <x:v>522.12</x:v>
      </x:c>
      <x:c r="I571" s="48" t="n">
        <x:v>0</x:v>
      </x:c>
      <x:c r="J571" s="48" t="n">
        <x:v>901</x:v>
      </x:c>
      <x:c r="K571" s="48" t="n">
        <x:v>0</x:v>
      </x:c>
      <x:c r="L571" s="48" t="n">
        <x:v>901</x:v>
      </x:c>
      <x:c r="M571" s="48" t="n">
        <x:v>0</x:v>
      </x:c>
      <x:c r="N571" s="48" t="n">
        <x:v>0.85</x:v>
      </x:c>
      <x:c r="O571" s="48" t="n">
        <x:v>1.03</x:v>
      </x:c>
      <x:c r="P571" s="48" t="n">
        <x:v>0.7</x:v>
      </x:c>
      <x:c r="Q571" s="48" t="n">
        <x:v>0.98</x:v>
      </x:c>
      <x:c r="R571" s="31" t="str">
        <x:v>ok</x:v>
      </x:c>
      <x:c r="S571" s="51" t="n">
        <x:v>0.9999918341636658</x:v>
      </x:c>
      <x:c r="T571" s="31" t="str">
        <x:v>https://mp.weixin.qq.com/s?__biz=MzUxOTMxNjk0OQ==&amp;mid=2247508091&amp;idx=1&amp;sn=a5acce1ac17cae88f81ebea6bc8c9d2e&amp;chksm=f9f994c1ce8e1dd7fb912807278ad6644ac5fe53717b5833a8a37adae67a4b0d13c01cc3d54f#rd</x:v>
      </x:c>
    </x:row>
    <x:row r="572">
      <x:c r="A572" s="36" t="d">
        <x:v>2026-07-25T00:00:00.000Z</x:v>
      </x:c>
      <x:c r="B572" s="48" t="n">
        <x:v>345.24</x:v>
      </x:c>
      <x:c r="C572" s="48" t="n">
        <x:v>168.83</x:v>
      </x:c>
      <x:c r="D572" s="48" t="n">
        <x:v>317.73</x:v>
      </x:c>
      <x:c r="E572" s="48" t="n">
        <x:v>150.9</x:v>
      </x:c>
      <x:c r="F572" s="48" t="n">
        <x:v>739.93</x:v>
      </x:c>
      <x:c r="G572" s="48" t="n">
        <x:v>0</x:v>
      </x:c>
      <x:c r="H572" s="48" t="n">
        <x:v>800</x:v>
      </x:c>
      <x:c r="I572" s="48" t="n">
        <x:v>0</x:v>
      </x:c>
      <x:c r="J572" s="48" t="n">
        <x:v>833.73</x:v>
      </x:c>
      <x:c r="K572" s="48" t="n">
        <x:v>0</x:v>
      </x:c>
      <x:c r="L572" s="48" t="n">
        <x:v>914.96</x:v>
      </x:c>
      <x:c r="M572" s="48" t="n">
        <x:v>0</x:v>
      </x:c>
      <x:c r="N572" s="48" t="n">
        <x:v>0.87</x:v>
      </x:c>
      <x:c r="O572" s="48" t="n">
        <x:v>0.99</x:v>
      </x:c>
      <x:c r="P572" s="48" t="n">
        <x:v>0.89</x:v>
      </x:c>
      <x:c r="Q572" s="48" t="n">
        <x:v>0.91</x:v>
      </x:c>
      <x:c r="R572" s="31" t="str">
        <x:v>ok</x:v>
      </x:c>
      <x:c r="S572" s="51" t="n">
        <x:v>0.9939095973968506</x:v>
      </x:c>
      <x:c r="T572" s="31" t="str">
        <x:v>https://mp.weixin.qq.com/s?__biz=MzUxOTMxNjk0OQ==&amp;mid=2247508093&amp;idx=1&amp;sn=ade4948559fc51ad2040e2fe769903d3&amp;chksm=f9f994c7ce8e1dd18bc05fd08f8c2f2578ec5dbb3cfa959281b3fed035665cca8062013b0307#rd</x:v>
      </x:c>
    </x:row>
    <x:row r="573">
      <x:c r="A573" s="36" t="d">
        <x:v>2026-07-26T00:00:00.000Z</x:v>
      </x:c>
      <x:c r="B573" s="48" t="n">
        <x:v>263.77</x:v>
      </x:c>
      <x:c r="C573" s="48" t="n">
        <x:v>146.93</x:v>
      </x:c>
      <x:c r="D573" s="48" t="n">
        <x:v>268.96</x:v>
      </x:c>
      <x:c r="E573" s="48" t="n">
        <x:v>143.04</x:v>
      </x:c>
      <x:c r="F573" s="48" t="n">
        <x:v>473.95</x:v>
      </x:c>
      <x:c r="G573" s="48" t="n">
        <x:v>0</x:v>
      </x:c>
      <x:c r="H573" s="48" t="n">
        <x:v>473.95</x:v>
      </x:c>
      <x:c r="I573" s="48" t="n">
        <x:v>0</x:v>
      </x:c>
      <x:c r="J573" s="48" t="n">
        <x:v>762</x:v>
      </x:c>
      <x:c r="K573" s="48" t="n">
        <x:v>0</x:v>
      </x:c>
      <x:c r="L573" s="48" t="n">
        <x:v>762</x:v>
      </x:c>
      <x:c r="M573" s="48" t="n">
        <x:v>0</x:v>
      </x:c>
      <x:c r="N573" s="48" t="n">
        <x:v>0.81</x:v>
      </x:c>
      <x:c r="O573" s="48" t="n">
        <x:v>0.92</x:v>
      </x:c>
      <x:c r="P573" s="48" t="n">
        <x:v>0.85</x:v>
      </x:c>
      <x:c r="Q573" s="48" t="n">
        <x:v>0.84</x:v>
      </x:c>
      <x:c r="R573" s="31" t="str">
        <x:v>ok</x:v>
      </x:c>
      <x:c r="S573" s="51" t="n">
        <x:v>0.9999938011169434</x:v>
      </x:c>
      <x:c r="T573" s="31" t="str">
        <x:v>https://mp.weixin.qq.com/s?__biz=MzUxOTMxNjk0OQ==&amp;mid=2247508097&amp;idx=1&amp;sn=aa3f90642cdc9feef30b04f12c11ec79&amp;chksm=f9f9943bce8e1d2d2e30e52df949734c79ddf75081e7aad8c9ecb8b00c109ffd51f91065f849#rd</x:v>
      </x:c>
    </x:row>
    <x:row r="574">
      <x:c r="A574" s="36" t="d">
        <x:v>2026-07-27T00:00:00.000Z</x:v>
      </x:c>
      <x:c r="B574" s="48" t="n">
        <x:v>388.93</x:v>
      </x:c>
      <x:c r="C574" s="48" t="n">
        <x:v>222.35</x:v>
      </x:c>
      <x:c r="D574" s="48" t="n">
        <x:v>265.31</x:v>
      </x:c>
      <x:c r="E574" s="48" t="n">
        <x:v>179.54</x:v>
      </x:c>
      <x:c r="F574" s="48" t="n">
        <x:v>806</x:v>
      </x:c>
      <x:c r="G574" s="48" t="n">
        <x:v>0</x:v>
      </x:c>
      <x:c r="H574" s="48" t="n">
        <x:v>806</x:v>
      </x:c>
      <x:c r="I574" s="48" t="n">
        <x:v>0</x:v>
      </x:c>
      <x:c r="J574" s="48" t="n">
        <x:v>441.02</x:v>
      </x:c>
      <x:c r="K574" s="48" t="n">
        <x:v>0</x:v>
      </x:c>
      <x:c r="L574" s="48" t="n">
        <x:v>441.02</x:v>
      </x:c>
      <x:c r="M574" s="48" t="n">
        <x:v>0</x:v>
      </x:c>
      <x:c r="N574" s="48" t="n">
        <x:v>0.77</x:v>
      </x:c>
      <x:c r="O574" s="48" t="n">
        <x:v>0.89</x:v>
      </x:c>
      <x:c r="P574" s="48" t="n">
        <x:v>0.69</x:v>
      </x:c>
      <x:c r="Q574" s="48" t="n">
        <x:v>0.79</x:v>
      </x:c>
      <x:c r="R574" s="31" t="str">
        <x:v>ok</x:v>
      </x:c>
      <x:c r="S574" s="51" t="n">
        <x:v>0.9369801878929138</x:v>
      </x:c>
      <x:c r="T574" s="31" t="str">
        <x:v>https://mp.weixin.qq.com/s?__biz=MzUxOTMxNjk0OQ==&amp;mid=2247508122&amp;idx=1&amp;sn=c30821f2d817131d5a1f0c4f469f56d8&amp;chksm=f9f99420ce8e1d36ac1d98362ab2c3539bb4e977befee3014dcf4180cad0cd85a8cc301f0110#rd</x:v>
      </x:c>
    </x:row>
    <x:row r="575">
      <x:c r="A575" s="36" t="d">
        <x:v>2026-07-28T00:00:00.000Z</x:v>
      </x:c>
      <x:c r="B575" s="48" t="n">
        <x:v>201.77</x:v>
      </x:c>
      <x:c r="C575" s="48" t="n">
        <x:v>63.93</x:v>
      </x:c>
      <x:c r="D575" s="48" t="n">
        <x:v>213.71</x:v>
      </x:c>
      <x:c r="E575" s="48" t="n">
        <x:v>118.62</x:v>
      </x:c>
      <x:c r="F575" s="48" t="n">
        <x:v>457.86</x:v>
      </x:c>
      <x:c r="G575" s="48" t="n">
        <x:v>0</x:v>
      </x:c>
      <x:c r="H575" s="48" t="n">
        <x:v>457.86</x:v>
      </x:c>
      <x:c r="I575" s="48" t="n">
        <x:v>0</x:v>
      </x:c>
      <x:c r="J575" s="48" t="n">
        <x:v>413.46</x:v>
      </x:c>
      <x:c r="K575" s="48" t="n">
        <x:v>0</x:v>
      </x:c>
      <x:c r="L575" s="48" t="n">
        <x:v>413.46</x:v>
      </x:c>
      <x:c r="M575" s="48" t="n">
        <x:v>0</x:v>
      </x:c>
      <x:c r="N575" s="48" t="n">
        <x:v>0.98</x:v>
      </x:c>
      <x:c r="O575" s="48" t="n">
        <x:v>0.81</x:v>
      </x:c>
      <x:c r="P575" s="48" t="n">
        <x:v>0.96</x:v>
      </x:c>
      <x:c r="Q575" s="48" t="n">
        <x:v>0.85</x:v>
      </x:c>
      <x:c r="R575" s="31" t="str">
        <x:v>ok</x:v>
      </x:c>
      <x:c r="S575" s="51" t="n">
        <x:v>0.9999944567680359</x:v>
      </x:c>
      <x:c r="T575" s="31" t="str">
        <x:v>https://mp.weixin.qq.com/s?__biz=MzUxOTMxNjk0OQ==&amp;mid=2247508140&amp;idx=1&amp;sn=b5d75f319e84dfc291bf6f58d4e5bf4f&amp;chksm=f9f99416ce8e1d000083835aaf6ba10268d1b3ace1da743dbb997d48611b5ac4f39b107486ae#rd</x:v>
      </x:c>
    </x:row>
    <x:row r="576">
      <x:c r="A576" s="36" t="d">
        <x:v>2026-07-29T00:00:00.000Z</x:v>
      </x:c>
      <x:c r="B576" s="48" t="n">
        <x:v>210.35</x:v>
      </x:c>
      <x:c r="C576" s="48" t="n">
        <x:v>116.75</x:v>
      </x:c>
      <x:c r="D576" s="48" t="n">
        <x:v>205.58</x:v>
      </x:c>
      <x:c r="E576" s="48" t="n">
        <x:v>130.17</x:v>
      </x:c>
      <x:c r="F576" s="48" t="n">
        <x:v>393.84</x:v>
      </x:c>
      <x:c r="G576" s="48" t="n">
        <x:v>0</x:v>
      </x:c>
      <x:c r="H576" s="48" t="n">
        <x:v>393.84</x:v>
      </x:c>
      <x:c r="I576" s="48" t="n">
        <x:v>0</x:v>
      </x:c>
      <x:c r="J576" s="48" t="n">
        <x:v>379</x:v>
      </x:c>
      <x:c r="K576" s="48" t="n">
        <x:v>0</x:v>
      </x:c>
      <x:c r="L576" s="48" t="n">
        <x:v>379</x:v>
      </x:c>
      <x:c r="M576" s="48" t="n">
        <x:v>0</x:v>
      </x:c>
      <x:c r="N576" s="48" t="n">
        <x:v>0.96</x:v>
      </x:c>
      <x:c r="O576" s="48" t="n">
        <x:v>0.9</x:v>
      </x:c>
      <x:c r="P576" s="48" t="n">
        <x:v>0.95</x:v>
      </x:c>
      <x:c r="Q576" s="48" t="n">
        <x:v>0.86</x:v>
      </x:c>
      <x:c r="R576" s="31" t="str">
        <x:v>ok</x:v>
      </x:c>
      <x:c r="S576" s="51" t="n">
        <x:v>0.9999951720237732</x:v>
      </x:c>
      <x:c r="T576" s="31" t="str">
        <x:v>https://mp.weixin.qq.com/s?__biz=MzUxOTMxNjk0OQ==&amp;mid=2247508142&amp;idx=2&amp;sn=ce145e82560ceb428a18b00660413bfa&amp;chksm=f9f99414ce8e1d022dadad4f07fd798710dc89a5aee53912c4f758675a643a110f644ebf279c#rd</x:v>
      </x:c>
    </x:row>
    <x:row r="577">
      <x:c r="A577" s="36" t="d">
        <x:v>2026-07-30T00:00:00.000Z</x:v>
      </x:c>
      <x:c r="B577" s="48" t="n">
        <x:v>225.53</x:v>
      </x:c>
      <x:c r="C577" s="48" t="n">
        <x:v>110.78</x:v>
      </x:c>
      <x:c r="D577" s="48" t="n">
        <x:v>242.32</x:v>
      </x:c>
      <x:c r="E577" s="48" t="n">
        <x:v>169.67</x:v>
      </x:c>
      <x:c r="F577" s="48" t="n">
        <x:v>454.04</x:v>
      </x:c>
      <x:c r="G577" s="48" t="n">
        <x:v>0</x:v>
      </x:c>
      <x:c r="H577" s="48" t="n">
        <x:v>454.04</x:v>
      </x:c>
      <x:c r="I577" s="48" t="n">
        <x:v>0</x:v>
      </x:c>
      <x:c r="J577" s="48" t="n">
        <x:v>759</x:v>
      </x:c>
      <x:c r="K577" s="48" t="n">
        <x:v>0</x:v>
      </x:c>
      <x:c r="L577" s="48" t="n">
        <x:v>759</x:v>
      </x:c>
      <x:c r="M577" s="48" t="n">
        <x:v>0</x:v>
      </x:c>
      <x:c r="N577" s="48" t="n">
        <x:v>0.44</x:v>
      </x:c>
      <x:c r="O577" s="48" t="n">
        <x:v>0.91</x:v>
      </x:c>
      <x:c r="P577" s="48" t="n">
        <x:v>0.46</x:v>
      </x:c>
      <x:c r="Q577" s="48" t="n">
        <x:v>0.87</x:v>
      </x:c>
      <x:c r="R577" s="31" t="str">
        <x:v>ok</x:v>
      </x:c>
      <x:c r="S577" s="51" t="n">
        <x:v>0.9999896287918091</x:v>
      </x:c>
      <x:c r="T577" s="31" t="str">
        <x:v>https://mp.weixin.qq.com/s?__biz=MzUxOTMxNjk0OQ==&amp;mid=2247508146&amp;idx=1&amp;sn=64c839c935a37ad0f8238ff4ae6b5ee8&amp;chksm=f9f99408ce8e1d1e8cc2ee0aa63832a08d4c99d067ab6671d0419ed9aac491d141288ad2826a#rd</x:v>
      </x:c>
    </x:row>
    <x:row r="578">
      <x:c r="A578" s="36" t="d">
        <x:v>2026-07-31T00:00:00.000Z</x:v>
      </x:c>
      <x:c r="B578" s="48" t="n">
        <x:v>312.51</x:v>
      </x:c>
      <x:c r="C578" s="48" t="n">
        <x:v>207.25</x:v>
      </x:c>
      <x:c r="D578" s="48" t="n">
        <x:v>300.81</x:v>
      </x:c>
      <x:c r="E578" s="48" t="n">
        <x:v>169.39</x:v>
      </x:c>
      <x:c r="F578" s="48" t="n">
        <x:v>572</x:v>
      </x:c>
      <x:c r="G578" s="48" t="n">
        <x:v>0</x:v>
      </x:c>
      <x:c r="H578" s="48" t="n">
        <x:v>572</x:v>
      </x:c>
      <x:c r="I578" s="48" t="n">
        <x:v>0</x:v>
      </x:c>
      <x:c r="J578" s="48" t="n">
        <x:v>566</x:v>
      </x:c>
      <x:c r="K578" s="48" t="n">
        <x:v>0</x:v>
      </x:c>
      <x:c r="L578" s="48" t="n">
        <x:v>566</x:v>
      </x:c>
      <x:c r="M578" s="48" t="n">
        <x:v>0</x:v>
      </x:c>
      <x:c r="N578" s="48" t="n">
        <x:v>0.19</x:v>
      </x:c>
      <x:c r="O578" s="48" t="n">
        <x:v>0.68</x:v>
      </x:c>
      <x:c r="P578" s="48" t="n">
        <x:v>0.17</x:v>
      </x:c>
      <x:c r="Q578" s="48" t="n">
        <x:v>0.63</x:v>
      </x:c>
      <x:c r="R578" s="31" t="str">
        <x:v>ok</x:v>
      </x:c>
      <x:c r="S578" s="51" t="n">
        <x:v>0.9999918937683105</x:v>
      </x:c>
      <x:c r="T578" s="31" t="str">
        <x:v>https://mp.weixin.qq.com/s?__biz=MzUxOTMxNjk0OQ==&amp;mid=2247508151&amp;idx=1&amp;sn=d12b181646f002d9c0b3f222e399f598&amp;chksm=f9f9940dce8e1d1b33cb7add7e8db11c4c0a7392781a28d48882b9246be2faeeba942df9992b#rd</x:v>
      </x:c>
    </x:row>
    <x:row r="579">
      <x:c r="A579" s="36" t="d">
        <x:v>2026-08-01T00:00:00.000Z</x:v>
      </x:c>
      <x:c r="B579" s="48" t="n">
        <x:v>409.46</x:v>
      </x:c>
      <x:c r="C579" s="48" t="n">
        <x:v>227.93</x:v>
      </x:c>
      <x:c r="D579" s="48" t="n">
        <x:v>302.31</x:v>
      </x:c>
      <x:c r="E579" s="48" t="n">
        <x:v>201.7</x:v>
      </x:c>
      <x:c r="F579" s="48" t="n">
        <x:v>704</x:v>
      </x:c>
      <x:c r="G579" s="48" t="n">
        <x:v>0</x:v>
      </x:c>
      <x:c r="H579" s="48" t="n">
        <x:v>704</x:v>
      </x:c>
      <x:c r="I579" s="48" t="n">
        <x:v>0</x:v>
      </x:c>
      <x:c r="J579" s="48" t="n">
        <x:v>650</x:v>
      </x:c>
      <x:c r="K579" s="48" t="n">
        <x:v>0</x:v>
      </x:c>
      <x:c r="L579" s="48" t="n">
        <x:v>650</x:v>
      </x:c>
      <x:c r="M579" s="48" t="n">
        <x:v>0</x:v>
      </x:c>
      <x:c r="N579" s="48" t="n">
        <x:v>0.23</x:v>
      </x:c>
      <x:c r="O579" s="48" t="n">
        <x:v>0.7</x:v>
      </x:c>
      <x:c r="P579" s="48" t="n">
        <x:v>0.28</x:v>
      </x:c>
      <x:c r="Q579" s="48" t="n">
        <x:v>0.63</x:v>
      </x:c>
      <x:c r="R579" s="31" t="str">
        <x:v>ok</x:v>
      </x:c>
      <x:c r="S579" s="51" t="n">
        <x:v>0.9999942779541016</x:v>
      </x:c>
      <x:c r="T579" s="31" t="str">
        <x:v>https://mp.weixin.qq.com/s?__biz=MzUxOTMxNjk0OQ==&amp;mid=2247508156&amp;idx=1&amp;sn=f3a0539e3a6f539b1f14f551a67849cd&amp;chksm=f9f99406ce8e1d10c801e0f8c6e009fb2c7c3223312977909d76e0e7106d38534d474b48dc45#rd</x:v>
      </x:c>
    </x:row>
    <x:row r="580">
      <x:c r="A580" s="36" t="d">
        <x:v>2026-08-02T00:00:00.000Z</x:v>
      </x:c>
      <x:c r="B580" s="48" t="n">
        <x:v>304.2</x:v>
      </x:c>
      <x:c r="C580" s="48" t="n">
        <x:v>251.46</x:v>
      </x:c>
      <x:c r="D580" s="48" t="n">
        <x:v>212.45</x:v>
      </x:c>
      <x:c r="E580" s="48" t="n">
        <x:v>184.32</x:v>
      </x:c>
      <x:c r="F580" s="48" t="n">
        <x:v>650</x:v>
      </x:c>
      <x:c r="G580" s="48" t="n">
        <x:v>0</x:v>
      </x:c>
      <x:c r="H580" s="48" t="n">
        <x:v>650</x:v>
      </x:c>
      <x:c r="I580" s="48" t="n">
        <x:v>0</x:v>
      </x:c>
      <x:c r="J580" s="48" t="n">
        <x:v>382</x:v>
      </x:c>
      <x:c r="K580" s="48" t="n">
        <x:v>0</x:v>
      </x:c>
      <x:c r="L580" s="48" t="n">
        <x:v>382</x:v>
      </x:c>
      <x:c r="M580" s="48" t="n">
        <x:v>0</x:v>
      </x:c>
      <x:c r="N580" s="48" t="n">
        <x:v>0.56</x:v>
      </x:c>
      <x:c r="O580" s="48" t="n">
        <x:v>0.43</x:v>
      </x:c>
      <x:c r="P580" s="48" t="n">
        <x:v>0.53</x:v>
      </x:c>
      <x:c r="Q580" s="48" t="n">
        <x:v>0.32</x:v>
      </x:c>
      <x:c r="R580" s="31" t="str">
        <x:v>ok</x:v>
      </x:c>
      <x:c r="S580" s="51" t="n">
        <x:v>0.9999974966049194</x:v>
      </x:c>
      <x:c r="T580" s="31" t="str">
        <x:v>https://mp.weixin.qq.com/s?__biz=MzUxOTMxNjk0OQ==&amp;mid=2247508160&amp;idx=1&amp;sn=132d6a4def6ba0da721508b8d838b27b&amp;chksm=f9f9947ace8e1d6c65bc41866570e4ec3d0530744d72e886d32a2981f2c307495939a8dbc72e#rd</x:v>
      </x:c>
    </x:row>
    <x:row r="581">
      <x:c r="A581" s="36" t="d">
        <x:v>2026-08-03T00:00:00.000Z</x:v>
      </x:c>
      <x:c r="B581" s="48" t="n">
        <x:v>346.41</x:v>
      </x:c>
      <x:c r="C581" s="48" t="n">
        <x:v>174.91</x:v>
      </x:c>
      <x:c r="D581" s="48" t="n">
        <x:v>284.76</x:v>
      </x:c>
      <x:c r="E581" s="48" t="n">
        <x:v>143.8</x:v>
      </x:c>
      <x:c r="F581" s="48" t="n">
        <x:v>655</x:v>
      </x:c>
      <x:c r="G581" s="48" t="n">
        <x:v>0</x:v>
      </x:c>
      <x:c r="H581" s="48" t="n">
        <x:v>655</x:v>
      </x:c>
      <x:c r="I581" s="48" t="n">
        <x:v>0</x:v>
      </x:c>
      <x:c r="J581" s="48" t="n">
        <x:v>640</x:v>
      </x:c>
      <x:c r="K581" s="48" t="n">
        <x:v>0</x:v>
      </x:c>
      <x:c r="L581" s="48" t="n">
        <x:v>640</x:v>
      </x:c>
      <x:c r="M581" s="48" t="n">
        <x:v>0</x:v>
      </x:c>
      <x:c r="N581" s="48" t="n">
        <x:v>0.26</x:v>
      </x:c>
      <x:c r="O581" s="48" t="n">
        <x:v>0.67</x:v>
      </x:c>
      <x:c r="P581" s="48" t="n">
        <x:v>0.24</x:v>
      </x:c>
      <x:c r="Q581" s="48" t="n">
        <x:v>0.57</x:v>
      </x:c>
      <x:c r="R581" s="31" t="str">
        <x:v>ok</x:v>
      </x:c>
      <x:c r="S581" s="51" t="n">
        <x:v>0.9999933242797852</x:v>
      </x:c>
      <x:c r="T581" s="31" t="str">
        <x:v>https://mp.weixin.qq.com/s?__biz=MzUxOTMxNjk0OQ==&amp;mid=2247508176&amp;idx=1&amp;sn=e0e407350e8b0da96002f64ab1fd63da&amp;chksm=f9f9946ace8e1d7cda6ff3d012dac781b5c6965fe0b01d11a9a688c68b6900d06f591f3aa52e#rd</x:v>
      </x:c>
    </x:row>
    <x:row r="582">
      <x:c r="A582" s="36" t="d">
        <x:v>2026-08-04T00:00:00.000Z</x:v>
      </x:c>
      <x:c r="B582" s="48" t="n">
        <x:v>247.97</x:v>
      </x:c>
      <x:c r="C582" s="48" t="n">
        <x:v>40.81</x:v>
      </x:c>
      <x:c r="D582" s="48" t="n">
        <x:v>264.94</x:v>
      </x:c>
      <x:c r="E582" s="48" t="n">
        <x:v>77.76</x:v>
      </x:c>
      <x:c r="F582" s="48" t="n">
        <x:v>395</x:v>
      </x:c>
      <x:c r="G582" s="48" t="n">
        <x:v>0</x:v>
      </x:c>
      <x:c r="H582" s="48" t="n">
        <x:v>395</x:v>
      </x:c>
      <x:c r="I582" s="48" t="n">
        <x:v>0</x:v>
      </x:c>
      <x:c r="J582" s="48" t="n">
        <x:v>380</x:v>
      </x:c>
      <x:c r="K582" s="48" t="n">
        <x:v>0</x:v>
      </x:c>
      <x:c r="L582" s="48" t="n">
        <x:v>380</x:v>
      </x:c>
      <x:c r="M582" s="48" t="n">
        <x:v>0</x:v>
      </x:c>
      <x:c r="N582" s="48" t="n">
        <x:v>0.19</x:v>
      </x:c>
      <x:c r="O582" s="48" t="n">
        <x:v>0.81</x:v>
      </x:c>
      <x:c r="P582" s="48" t="n">
        <x:v>0.19</x:v>
      </x:c>
      <x:c r="Q582" s="48" t="n">
        <x:v>0.79</x:v>
      </x:c>
      <x:c r="R582" s="31" t="str">
        <x:v>ok</x:v>
      </x:c>
      <x:c r="S582" s="51" t="n">
        <x:v>0.9999957084655762</x:v>
      </x:c>
      <x:c r="T582" s="31" t="str">
        <x:v>https://mp.weixin.qq.com/s?__biz=MzUxOTMxNjk0OQ==&amp;mid=2247508180&amp;idx=1&amp;sn=9c28d02bceb0eddc2921a2f614d9fc75&amp;chksm=f9f9946ece8e1d782983a3f27e1571659d8013ade6f287b70d6069e03ef34fbab652e5c53628#rd</x:v>
      </x:c>
    </x:row>
    <x:row r="583">
      <x:c r="A583" s="36" t="d">
        <x:v>2026-08-05T00:00:00.000Z</x:v>
      </x:c>
      <x:c r="B583" s="48" t="n">
        <x:v>162.75</x:v>
      </x:c>
      <x:c r="C583" s="48" t="n">
        <x:v>8.47</x:v>
      </x:c>
      <x:c r="D583" s="48" t="n">
        <x:v>136.5</x:v>
      </x:c>
      <x:c r="E583" s="48" t="n">
        <x:v>14.94</x:v>
      </x:c>
      <x:c r="F583" s="48" t="n">
        <x:v>299</x:v>
      </x:c>
      <x:c r="G583" s="48" t="n">
        <x:v>0</x:v>
      </x:c>
      <x:c r="H583" s="48" t="n">
        <x:v>299</x:v>
      </x:c>
      <x:c r="I583" s="48" t="n">
        <x:v>0</x:v>
      </x:c>
      <x:c r="J583" s="48" t="n">
        <x:v>270</x:v>
      </x:c>
      <x:c r="K583" s="48" t="n">
        <x:v>0</x:v>
      </x:c>
      <x:c r="L583" s="48" t="n">
        <x:v>270</x:v>
      </x:c>
      <x:c r="M583" s="48" t="n">
        <x:v>0</x:v>
      </x:c>
      <x:c r="N583" s="48" t="n">
        <x:v>0.35</x:v>
      </x:c>
      <x:c r="O583" s="48" t="n">
        <x:v>0.6</x:v>
      </x:c>
      <x:c r="P583" s="48" t="n">
        <x:v>0.42</x:v>
      </x:c>
      <x:c r="Q583" s="48" t="n">
        <x:v>0.49</x:v>
      </x:c>
      <x:c r="R583" s="31" t="str">
        <x:v>ok</x:v>
      </x:c>
      <x:c r="S583" s="51" t="n">
        <x:v>0.9999951720237732</x:v>
      </x:c>
      <x:c r="T583" s="31" t="str">
        <x:v>https://mp.weixin.qq.com/s?__biz=MzUxOTMxNjk0OQ==&amp;mid=2247508184&amp;idx=1&amp;sn=061e3a671466a5672c549d964977e488&amp;chksm=f9f99462ce8e1d747e653388a9bd15857571def3d995520bcd43266e584247c06f17de5d7ffc#rd</x:v>
      </x:c>
    </x:row>
    <x:row r="584">
      <x:c r="A584" s="36" t="d">
        <x:v>2026-08-06T00:00:00.000Z</x:v>
      </x:c>
      <x:c r="B584" s="48" t="n">
        <x:v>109.66</x:v>
      </x:c>
      <x:c r="C584" s="48" t="n">
        <x:v>3.28</x:v>
      </x:c>
      <x:c r="D584" s="48" t="n">
        <x:v>105.82</x:v>
      </x:c>
      <x:c r="E584" s="48" t="n">
        <x:v>7.38</x:v>
      </x:c>
      <x:c r="F584" s="48" t="n">
        <x:v>300</x:v>
      </x:c>
      <x:c r="G584" s="48" t="n">
        <x:v>0</x:v>
      </x:c>
      <x:c r="H584" s="48" t="n">
        <x:v>300</x:v>
      </x:c>
      <x:c r="I584" s="48" t="n">
        <x:v>0</x:v>
      </x:c>
      <x:c r="J584" s="48" t="n">
        <x:v>268</x:v>
      </x:c>
      <x:c r="K584" s="48" t="n">
        <x:v>0</x:v>
      </x:c>
      <x:c r="L584" s="48" t="n">
        <x:v>268</x:v>
      </x:c>
      <x:c r="M584" s="48" t="n">
        <x:v>0</x:v>
      </x:c>
      <x:c r="N584" s="48" t="n">
        <x:v>0.34</x:v>
      </x:c>
      <x:c r="O584" s="48" t="n">
        <x:v>0.7</x:v>
      </x:c>
      <x:c r="P584" s="48" t="n">
        <x:v>0.37</x:v>
      </x:c>
      <x:c r="Q584" s="48" t="n">
        <x:v>0.67</x:v>
      </x:c>
      <x:c r="R584" s="31" t="str">
        <x:v>ok</x:v>
      </x:c>
      <x:c r="S584" s="51" t="n">
        <x:v>0.9999974370002747</x:v>
      </x:c>
      <x:c r="T584" s="31" t="str">
        <x:v>https://mp.weixin.qq.com/s?__biz=MzUxOTMxNjk0OQ==&amp;mid=2247508188&amp;idx=1&amp;sn=49d7cbd56e69035a1f6d25da655e1654&amp;chksm=f9f99466ce8e1d70dd6e39e970fba531d45d329c0700ad9a9adb8f229be3782a8c5b2a4b465f#rd</x:v>
      </x:c>
    </x:row>
    <x:row r="585">
      <x:c r="A585" s="36" t="d">
        <x:v>2026-08-07T00:00:00.000Z</x:v>
      </x:c>
      <x:c r="B585" s="48" t="n">
        <x:v>186.85</x:v>
      </x:c>
      <x:c r="C585" s="48" t="n">
        <x:v>11.56</x:v>
      </x:c>
      <x:c r="D585" s="48" t="n">
        <x:v>186.36</x:v>
      </x:c>
      <x:c r="E585" s="48" t="n">
        <x:v>18.65</x:v>
      </x:c>
      <x:c r="F585" s="48" t="n">
        <x:v>400</x:v>
      </x:c>
      <x:c r="G585" s="48" t="n">
        <x:v>0</x:v>
      </x:c>
      <x:c r="H585" s="48" t="n">
        <x:v>400</x:v>
      </x:c>
      <x:c r="I585" s="48" t="n">
        <x:v>0</x:v>
      </x:c>
      <x:c r="J585" s="48" t="n">
        <x:v>400</x:v>
      </x:c>
      <x:c r="K585" s="48" t="n">
        <x:v>0</x:v>
      </x:c>
      <x:c r="L585" s="48" t="n">
        <x:v>400</x:v>
      </x:c>
      <x:c r="M585" s="48" t="n">
        <x:v>0</x:v>
      </x:c>
      <x:c r="N585" s="48" t="n">
        <x:v>0.29</x:v>
      </x:c>
      <x:c r="O585" s="48" t="n">
        <x:v>0.92</x:v>
      </x:c>
      <x:c r="P585" s="48" t="n">
        <x:v>0.34</x:v>
      </x:c>
      <x:c r="Q585" s="48" t="n">
        <x:v>0.95</x:v>
      </x:c>
      <x:c r="R585" s="31" t="str">
        <x:v>ok</x:v>
      </x:c>
      <x:c r="S585" s="51" t="n">
        <x:v>0.9999837875366211</x:v>
      </x:c>
      <x:c r="T585" s="31" t="str">
        <x:v>https://mp.weixin.qq.com/s?__biz=MzUxOTMxNjk0OQ==&amp;mid=2247508193&amp;idx=1&amp;sn=481817c73fa5a514b39516823fde36f8&amp;chksm=f9f9945bce8e1d4dbecb2ad27ec325a3e2647cd49d3ab334c41b09ae7091520a05cf9e5e9f0e#rd</x:v>
      </x:c>
    </x:row>
    <x:row r="586">
      <x:c r="A586" s="36" t="d">
        <x:v>2026-08-08T00:00:00.000Z</x:v>
      </x:c>
      <x:c r="B586" s="48" t="n">
        <x:v>112.08</x:v>
      </x:c>
      <x:c r="C586" s="48" t="n">
        <x:v>7.97</x:v>
      </x:c>
      <x:c r="D586" s="48" t="n">
        <x:v>137.04</x:v>
      </x:c>
      <x:c r="E586" s="48" t="n">
        <x:v>22.23</x:v>
      </x:c>
      <x:c r="F586" s="48" t="n">
        <x:v>330</x:v>
      </x:c>
      <x:c r="G586" s="48" t="n">
        <x:v>0</x:v>
      </x:c>
      <x:c r="H586" s="48" t="n">
        <x:v>330</x:v>
      </x:c>
      <x:c r="I586" s="48" t="n">
        <x:v>0</x:v>
      </x:c>
      <x:c r="J586" s="48" t="n">
        <x:v>650</x:v>
      </x:c>
      <x:c r="K586" s="48" t="n">
        <x:v>0</x:v>
      </x:c>
      <x:c r="L586" s="48" t="n">
        <x:v>650</x:v>
      </x:c>
      <x:c r="M586" s="48" t="n">
        <x:v>0</x:v>
      </x:c>
      <x:c r="N586" s="48" t="n">
        <x:v>0.68</x:v>
      </x:c>
      <x:c r="O586" s="48" t="n">
        <x:v>0.94</x:v>
      </x:c>
      <x:c r="P586" s="48" t="n">
        <x:v>0.72</x:v>
      </x:c>
      <x:c r="Q586" s="48" t="n">
        <x:v>0.91</x:v>
      </x:c>
      <x:c r="R586" s="31" t="str">
        <x:v>ok</x:v>
      </x:c>
      <x:c r="S586" s="51" t="n">
        <x:v>0.9999961256980896</x:v>
      </x:c>
      <x:c r="T586" s="31" t="str">
        <x:v>https://mp.weixin.qq.com/s?__biz=MzUxOTMxNjk0OQ==&amp;mid=2247508195&amp;idx=1&amp;sn=2ba301bd064cc8f7b223546cff0d5c9d&amp;chksm=f9f99459ce8e1d4f95b991829cc09be47b5f8167ddd50bbb2ad725eba1c3ab407930c17e9d31#rd</x:v>
      </x:c>
    </x:row>
    <x:row r="587">
      <x:c r="A587" s="36" t="d">
        <x:v>2026-08-09T00:00:00.000Z</x:v>
      </x:c>
      <x:c r="B587" s="48" t="n">
        <x:v>81.95</x:v>
      </x:c>
      <x:c r="C587" s="48" t="n">
        <x:v>5.04</x:v>
      </x:c>
      <x:c r="D587" s="48" t="n">
        <x:v>91.6</x:v>
      </x:c>
      <x:c r="E587" s="48" t="n">
        <x:v>15.27</x:v>
      </x:c>
      <x:c r="F587" s="48" t="n">
        <x:v>340</x:v>
      </x:c>
      <x:c r="G587" s="48" t="n">
        <x:v>0</x:v>
      </x:c>
      <x:c r="H587" s="48" t="n">
        <x:v>340</x:v>
      </x:c>
      <x:c r="I587" s="48" t="n">
        <x:v>0</x:v>
      </x:c>
      <x:c r="J587" s="48" t="n">
        <x:v>450</x:v>
      </x:c>
      <x:c r="K587" s="48" t="n">
        <x:v>0</x:v>
      </x:c>
      <x:c r="L587" s="48" t="n">
        <x:v>450</x:v>
      </x:c>
      <x:c r="M587" s="48" t="n">
        <x:v>0</x:v>
      </x:c>
      <x:c r="N587" s="48" t="n">
        <x:v>0.72</x:v>
      </x:c>
      <x:c r="O587" s="48" t="n">
        <x:v>0.94</x:v>
      </x:c>
      <x:c r="P587" s="48" t="n">
        <x:v>0.73</x:v>
      </x:c>
      <x:c r="Q587" s="48" t="n">
        <x:v>0.94</x:v>
      </x:c>
      <x:c r="R587" s="31" t="str">
        <x:v>ok</x:v>
      </x:c>
      <x:c r="S587" s="51" t="n">
        <x:v>0.9999967813491821</x:v>
      </x:c>
      <x:c r="T587" s="31" t="str">
        <x:v>https://mp.weixin.qq.com/s?__biz=MzUxOTMxNjk0OQ==&amp;mid=2247508199&amp;idx=1&amp;sn=3624270552746c703a5835e624e689be&amp;chksm=f9f9945dce8e1d4b789c309c5b9b1dcc86a4b30537c4cec07353cbf8994dd3508fc065cc2f1a#rd</x:v>
      </x:c>
    </x:row>
    <x:row r="588">
      <x:c r="A588" s="36" t="d">
        <x:v>2026-08-10T00:00:00.000Z</x:v>
      </x:c>
      <x:c r="B588" s="48" t="n">
        <x:v>111.84</x:v>
      </x:c>
      <x:c r="C588" s="48" t="n">
        <x:v>6.83</x:v>
      </x:c>
      <x:c r="D588" s="48" t="n">
        <x:v>145.98</x:v>
      </x:c>
      <x:c r="E588" s="48" t="n">
        <x:v>15.68</x:v>
      </x:c>
      <x:c r="F588" s="48" t="n">
        <x:v>450</x:v>
      </x:c>
      <x:c r="G588" s="48" t="n">
        <x:v>0</x:v>
      </x:c>
      <x:c r="H588" s="48" t="n">
        <x:v>450</x:v>
      </x:c>
      <x:c r="I588" s="48" t="n">
        <x:v>0</x:v>
      </x:c>
      <x:c r="J588" s="48" t="n">
        <x:v>480</x:v>
      </x:c>
      <x:c r="K588" s="48" t="n">
        <x:v>0</x:v>
      </x:c>
      <x:c r="L588" s="48" t="n">
        <x:v>480</x:v>
      </x:c>
      <x:c r="M588" s="48" t="n">
        <x:v>0</x:v>
      </x:c>
      <x:c r="N588" s="48" t="n">
        <x:v>0.57</x:v>
      </x:c>
      <x:c r="O588" s="48" t="n">
        <x:v>0.97</x:v>
      </x:c>
      <x:c r="P588" s="48" t="n">
        <x:v>0.69</x:v>
      </x:c>
      <x:c r="Q588" s="48" t="n">
        <x:v>1.03</x:v>
      </x:c>
      <x:c r="R588" s="31" t="str">
        <x:v>ok</x:v>
      </x:c>
      <x:c r="S588" s="51" t="n">
        <x:v>0.999993622303009</x:v>
      </x:c>
      <x:c r="T588" s="31" t="str">
        <x:v>https://mp.weixin.qq.com/s?__biz=MzUxOTMxNjk0OQ==&amp;mid=2247508203&amp;idx=1&amp;sn=ef2496b43864a13f5544308141fb73e6&amp;chksm=f9f99451ce8e1d47572f8750dadb2c027ca8a1cf13901b7234b2fede46a8d11b42f80879b0b0#rd</x:v>
      </x:c>
    </x:row>
    <x:row r="589">
      <x:c r="A589" s="36" t="d">
        <x:v>2026-08-11T00:00:00.000Z</x:v>
      </x:c>
      <x:c r="B589" s="48" t="n">
        <x:v>215.76</x:v>
      </x:c>
      <x:c r="C589" s="48" t="n">
        <x:v>36.02</x:v>
      </x:c>
      <x:c r="D589" s="48" t="n">
        <x:v>124.27</x:v>
      </x:c>
      <x:c r="E589" s="48" t="n">
        <x:v>79.28</x:v>
      </x:c>
      <x:c r="F589" s="48" t="n">
        <x:v>800</x:v>
      </x:c>
      <x:c r="G589" s="48" t="n">
        <x:v>0</x:v>
      </x:c>
      <x:c r="H589" s="48" t="n">
        <x:v>800</x:v>
      </x:c>
      <x:c r="I589" s="48" t="n">
        <x:v>0</x:v>
      </x:c>
      <x:c r="J589" s="48" t="n">
        <x:v>800</x:v>
      </x:c>
      <x:c r="K589" s="48" t="n">
        <x:v>0</x:v>
      </x:c>
      <x:c r="L589" s="48" t="n">
        <x:v>800</x:v>
      </x:c>
      <x:c r="M589" s="48" t="n">
        <x:v>0</x:v>
      </x:c>
      <x:c r="N589" s="48" t="n">
        <x:v>0.46</x:v>
      </x:c>
      <x:c r="O589" s="48" t="n">
        <x:v>0.9</x:v>
      </x:c>
      <x:c r="P589" s="48" t="n">
        <x:v>0.54</x:v>
      </x:c>
      <x:c r="Q589" s="48" t="n">
        <x:v>0.79</x:v>
      </x:c>
      <x:c r="R589" s="31" t="str">
        <x:v>ok</x:v>
      </x:c>
      <x:c r="S589" s="51" t="n">
        <x:v>0.9999949336051941</x:v>
      </x:c>
      <x:c r="T589" s="31" t="str">
        <x:v>https://mp.weixin.qq.com/s?__biz=MzUxOTMxNjk0OQ==&amp;mid=2247508212&amp;idx=1&amp;sn=773369ed43fc6d311eda762247e09ef0&amp;chksm=f9f9944ece8e1d58c6084574e8fe7e141aac4d5fe42e8d38bb9ba1c008c03093e398006c74f1#rd</x:v>
      </x:c>
    </x:row>
    <x:row r="590">
      <x:c r="A590" s="36" t="d">
        <x:v>2026-08-12T00:00:00.000Z</x:v>
      </x:c>
      <x:c r="B590" s="48" t="n">
        <x:v>84.81</x:v>
      </x:c>
      <x:c r="C590" s="48" t="n">
        <x:v>2.65</x:v>
      </x:c>
      <x:c r="D590" s="48" t="n">
        <x:v>74.43</x:v>
      </x:c>
      <x:c r="E590" s="48" t="n">
        <x:v>8.5</x:v>
      </x:c>
      <x:c r="F590" s="48" t="n">
        <x:v>330</x:v>
      </x:c>
      <x:c r="G590" s="48" t="n">
        <x:v>0</x:v>
      </x:c>
      <x:c r="H590" s="48" t="n">
        <x:v>330</x:v>
      </x:c>
      <x:c r="I590" s="48" t="n">
        <x:v>0</x:v>
      </x:c>
      <x:c r="J590" s="48" t="n">
        <x:v>362.05</x:v>
      </x:c>
      <x:c r="K590" s="48" t="n">
        <x:v>0</x:v>
      </x:c>
      <x:c r="L590" s="48" t="n">
        <x:v>362.05</x:v>
      </x:c>
      <x:c r="M590" s="48" t="n">
        <x:v>0</x:v>
      </x:c>
      <x:c r="N590" s="48" t="n">
        <x:v>0.74</x:v>
      </x:c>
      <x:c r="O590" s="48" t="n">
        <x:v>0.86</x:v>
      </x:c>
      <x:c r="P590" s="48" t="n">
        <x:v>0.65</x:v>
      </x:c>
      <x:c r="Q590" s="48" t="n">
        <x:v>0.8</x:v>
      </x:c>
      <x:c r="R590" s="31" t="str">
        <x:v>ok</x:v>
      </x:c>
      <x:c r="S590" s="51" t="n">
        <x:v>0.9999899864196777</x:v>
      </x:c>
      <x:c r="T590" s="31" t="str">
        <x:v>https://mp.weixin.qq.com/s?__biz=MzUxOTMxNjk0OQ==&amp;mid=2247508217&amp;idx=1&amp;sn=f5a3d8c6e202b90c6f6ce4931f0e021b&amp;chksm=f9f99443ce8e1d55acf663e3aaef3067f9723cc9048f9934c94c4006071a95148bdbb0e735ec#rd</x:v>
      </x:c>
    </x:row>
    <x:row r="591">
      <x:c r="A591" s="36" t="d">
        <x:v>2026-08-13T00:00:00.000Z</x:v>
      </x:c>
      <x:c r="B591" s="48" t="n">
        <x:v>166.69</x:v>
      </x:c>
      <x:c r="C591" s="48" t="n">
        <x:v>14.12</x:v>
      </x:c>
      <x:c r="D591" s="48" t="n">
        <x:v>168.36</x:v>
      </x:c>
      <x:c r="E591" s="48" t="n">
        <x:v>16.63</x:v>
      </x:c>
      <x:c r="F591" s="48" t="n">
        <x:v>400</x:v>
      </x:c>
      <x:c r="G591" s="48" t="n">
        <x:v>0</x:v>
      </x:c>
      <x:c r="H591" s="48" t="n">
        <x:v>400</x:v>
      </x:c>
      <x:c r="I591" s="48" t="n">
        <x:v>0</x:v>
      </x:c>
      <x:c r="J591" s="48" t="n">
        <x:v>800</x:v>
      </x:c>
      <x:c r="K591" s="48" t="n">
        <x:v>0</x:v>
      </x:c>
      <x:c r="L591" s="48" t="n">
        <x:v>800</x:v>
      </x:c>
      <x:c r="M591" s="48" t="n">
        <x:v>0</x:v>
      </x:c>
      <x:c r="N591" s="48" t="n">
        <x:v>0.2</x:v>
      </x:c>
      <x:c r="O591" s="48" t="n">
        <x:v>0.93</x:v>
      </x:c>
      <x:c r="P591" s="48" t="n">
        <x:v>0.19</x:v>
      </x:c>
      <x:c r="Q591" s="48" t="n">
        <x:v>0.97</x:v>
      </x:c>
      <x:c r="R591" s="31" t="str">
        <x:v>ok</x:v>
      </x:c>
      <x:c r="S591" s="51" t="n">
        <x:v>0.9991937875747681</x:v>
      </x:c>
      <x:c r="T591" s="31" t="str">
        <x:v>https://mp.weixin.qq.com/s?__biz=MzUxOTMxNjk0OQ==&amp;mid=2247508237&amp;idx=1&amp;sn=da660a7494b05ec830b9e25a38e8c994&amp;chksm=f9f995b7ce8e1ca1949a431abcdd622dbcad8091c1adce53a27c0656ee9b4a54ef8068f3ed79#rd</x:v>
      </x:c>
    </x:row>
    <x:row r="592">
      <x:c r="A592" s="36" t="d">
        <x:v>2026-08-14T00:00:00.000Z</x:v>
      </x:c>
      <x:c r="B592" s="48" t="n">
        <x:v>217.41</x:v>
      </x:c>
      <x:c r="C592" s="48" t="n">
        <x:v>22.87</x:v>
      </x:c>
      <x:c r="D592" s="48" t="n">
        <x:v>177.5</x:v>
      </x:c>
      <x:c r="E592" s="48" t="n">
        <x:v>16.88</x:v>
      </x:c>
      <x:c r="F592" s="48" t="n">
        <x:v>354.32</x:v>
      </x:c>
      <x:c r="G592" s="48" t="n">
        <x:v>0</x:v>
      </x:c>
      <x:c r="H592" s="48" t="n">
        <x:v>355</x:v>
      </x:c>
      <x:c r="I592" s="48" t="n">
        <x:v>0</x:v>
      </x:c>
      <x:c r="J592" s="48" t="n">
        <x:v>800</x:v>
      </x:c>
      <x:c r="K592" s="48" t="n">
        <x:v>0</x:v>
      </x:c>
      <x:c r="L592" s="48" t="n">
        <x:v>800</x:v>
      </x:c>
      <x:c r="M592" s="48" t="n">
        <x:v>0</x:v>
      </x:c>
      <x:c r="N592" s="48" t="n">
        <x:v>0.23</x:v>
      </x:c>
      <x:c r="O592" s="48" t="n">
        <x:v>0.96</x:v>
      </x:c>
      <x:c r="P592" s="48" t="n">
        <x:v>0.39</x:v>
      </x:c>
      <x:c r="Q592" s="48" t="n">
        <x:v>0.98</x:v>
      </x:c>
      <x:c r="R592" s="31" t="str">
        <x:v>ok</x:v>
      </x:c>
      <x:c r="S592" s="51" t="n">
        <x:v>0.9999958872795105</x:v>
      </x:c>
      <x:c r="T592" s="31" t="str">
        <x:v>https://mp.weixin.qq.com/s?__biz=MzUxOTMxNjk0OQ==&amp;mid=2247508239&amp;idx=1&amp;sn=8258b0b81fa57768e9df9d57fc4bf68b&amp;chksm=f9f995b5ce8e1ca3493082be07ede8206e14ea41126efca60ed74a9ef1ed24c488c7f61cf6aa#rd</x:v>
      </x:c>
    </x:row>
    <x:row r="593">
      <x:c r="A593" s="36" t="d">
        <x:v>2026-08-15T00:00:00.000Z</x:v>
      </x:c>
      <x:c r="B593" s="48" t="n">
        <x:v>155.1</x:v>
      </x:c>
      <x:c r="C593" s="48" t="n">
        <x:v>24.62</x:v>
      </x:c>
      <x:c r="D593" s="48" t="n">
        <x:v>135.08</x:v>
      </x:c>
      <x:c r="E593" s="48" t="n">
        <x:v>29.37</x:v>
      </x:c>
      <x:c r="F593" s="48" t="n">
        <x:v>320</x:v>
      </x:c>
      <x:c r="G593" s="48" t="n">
        <x:v>0</x:v>
      </x:c>
      <x:c r="H593" s="48" t="n">
        <x:v>320</x:v>
      </x:c>
      <x:c r="I593" s="48" t="n">
        <x:v>0</x:v>
      </x:c>
      <x:c r="J593" s="48" t="n">
        <x:v>344.76</x:v>
      </x:c>
      <x:c r="K593" s="48" t="n">
        <x:v>0</x:v>
      </x:c>
      <x:c r="L593" s="48" t="n">
        <x:v>355</x:v>
      </x:c>
      <x:c r="M593" s="48" t="n">
        <x:v>0</x:v>
      </x:c>
      <x:c r="N593" s="48" t="n">
        <x:v>0.37</x:v>
      </x:c>
      <x:c r="O593" s="48" t="n">
        <x:v>0.93</x:v>
      </x:c>
      <x:c r="P593" s="48" t="n">
        <x:v>0.53</x:v>
      </x:c>
      <x:c r="Q593" s="48" t="n">
        <x:v>0.91</x:v>
      </x:c>
      <x:c r="R593" s="31" t="str">
        <x:v>ok</x:v>
      </x:c>
      <x:c r="S593" s="51" t="n">
        <x:v>0.9999957084655762</x:v>
      </x:c>
      <x:c r="T593" s="31" t="str">
        <x:v>https://mp.weixin.qq.com/s?__biz=MzUxOTMxNjk0OQ==&amp;mid=2247508262&amp;idx=1&amp;sn=734158caee445ef94223c401ecc86663&amp;chksm=f9f9959cce8e1c8aeebcc04addd672a26c1d07358813b367389f8993d1885acaa4280dcf7cea#rd</x:v>
      </x:c>
    </x:row>
    <x:row r="594">
      <x:c r="A594" s="36" t="d">
        <x:v>2026-08-16T00:00:00.000Z</x:v>
      </x:c>
      <x:c r="B594" s="48" t="n">
        <x:v>230.91</x:v>
      </x:c>
      <x:c r="C594" s="48" t="n">
        <x:v>37.37</x:v>
      </x:c>
      <x:c r="D594" s="48" t="n">
        <x:v>328.84</x:v>
      </x:c>
      <x:c r="E594" s="48" t="n">
        <x:v>49.33</x:v>
      </x:c>
      <x:c r="F594" s="48" t="n">
        <x:v>372.23</x:v>
      </x:c>
      <x:c r="G594" s="48" t="n">
        <x:v>0</x:v>
      </x:c>
      <x:c r="H594" s="48" t="n">
        <x:v>372.23</x:v>
      </x:c>
      <x:c r="I594" s="48" t="n">
        <x:v>0</x:v>
      </x:c>
      <x:c r="J594" s="48" t="n">
        <x:v>1000</x:v>
      </x:c>
      <x:c r="K594" s="48" t="n">
        <x:v>0</x:v>
      </x:c>
      <x:c r="L594" s="48" t="n">
        <x:v>1000</x:v>
      </x:c>
      <x:c r="M594" s="48" t="n">
        <x:v>0</x:v>
      </x:c>
      <x:c r="N594" s="48" t="n">
        <x:v>0.14</x:v>
      </x:c>
      <x:c r="O594" s="48" t="n">
        <x:v>0.94</x:v>
      </x:c>
      <x:c r="P594" s="48" t="n">
        <x:v>0.13</x:v>
      </x:c>
      <x:c r="Q594" s="48" t="n">
        <x:v>0.93</x:v>
      </x:c>
      <x:c r="R594" s="31" t="str">
        <x:v>ok</x:v>
      </x:c>
      <x:c r="S594" s="51" t="n">
        <x:v>0.9986931085586548</x:v>
      </x:c>
      <x:c r="T594" s="31" t="str">
        <x:v>https://mp.weixin.qq.com/s?__biz=MzUxOTMxNjk0OQ==&amp;mid=2247508266&amp;idx=1&amp;sn=d530fe1adddd709e1dd9878bb7b28164&amp;chksm=f9f99590ce8e1c8679b80e8f67d4adae86cc0d7561f6f1c46b5e0fc8e13121c528be1baff739#rd</x:v>
      </x:c>
    </x:row>
    <x:row r="595">
      <x:c r="A595" s="36" t="d">
        <x:v>2026-08-17T00:00:00.000Z</x:v>
      </x:c>
      <x:c r="B595" s="48" t="n">
        <x:v>261.74</x:v>
      </x:c>
      <x:c r="C595" s="48" t="n">
        <x:v>162.99</x:v>
      </x:c>
      <x:c r="D595" s="48" t="n">
        <x:v>297.68</x:v>
      </x:c>
      <x:c r="E595" s="48" t="n">
        <x:v>180.15</x:v>
      </x:c>
      <x:c r="F595" s="48" t="n">
        <x:v>1000</x:v>
      </x:c>
      <x:c r="G595" s="48" t="n">
        <x:v>0</x:v>
      </x:c>
      <x:c r="H595" s="48" t="n">
        <x:v>1000</x:v>
      </x:c>
      <x:c r="I595" s="48" t="n">
        <x:v>0</x:v>
      </x:c>
      <x:c r="J595" s="48" t="n">
        <x:v>1000</x:v>
      </x:c>
      <x:c r="K595" s="48" t="n">
        <x:v>0</x:v>
      </x:c>
      <x:c r="L595" s="48" t="n">
        <x:v>1000</x:v>
      </x:c>
      <x:c r="M595" s="48" t="n">
        <x:v>0</x:v>
      </x:c>
      <x:c r="N595" s="48" t="n">
        <x:v>0.2</x:v>
      </x:c>
      <x:c r="O595" s="48" t="n">
        <x:v>0.59</x:v>
      </x:c>
      <x:c r="P595" s="48" t="n">
        <x:v>0.24</x:v>
      </x:c>
      <x:c r="Q595" s="48" t="n">
        <x:v>0.59</x:v>
      </x:c>
      <x:c r="R595" s="31" t="str">
        <x:v>ok</x:v>
      </x:c>
      <x:c r="S595" s="51" t="n">
        <x:v>0.9993458986282349</x:v>
      </x:c>
      <x:c r="T595" s="31" t="str">
        <x:v>https://mp.weixin.qq.com/s?__biz=MzUxOTMxNjk0OQ==&amp;mid=2247508270&amp;idx=1&amp;sn=2d253ef408e200a7bda3184c41ffab5c&amp;chksm=f9f99594ce8e1c826dc90cca591b6f2a72e2e98deb85243b446e2a1c814f74eb4e72aa0c864b#rd</x:v>
      </x:c>
    </x:row>
    <x:row r="596">
      <x:c r="A596" s="36" t="d">
        <x:v>2026-08-18T00:00:00.000Z</x:v>
      </x:c>
      <x:c r="B596" s="48" t="n">
        <x:v>424.44</x:v>
      </x:c>
      <x:c r="C596" s="48" t="n">
        <x:v>110.16</x:v>
      </x:c>
      <x:c r="D596" s="48" t="n">
        <x:v>292.28</x:v>
      </x:c>
      <x:c r="E596" s="48" t="n">
        <x:v>123.84</x:v>
      </x:c>
      <x:c r="F596" s="48" t="n">
        <x:v>1000</x:v>
      </x:c>
      <x:c r="G596" s="48" t="n">
        <x:v>0</x:v>
      </x:c>
      <x:c r="H596" s="48" t="n">
        <x:v>1000</x:v>
      </x:c>
      <x:c r="I596" s="48" t="n">
        <x:v>0</x:v>
      </x:c>
      <x:c r="J596" s="48" t="n">
        <x:v>1000</x:v>
      </x:c>
      <x:c r="K596" s="48" t="n">
        <x:v>0</x:v>
      </x:c>
      <x:c r="L596" s="48" t="n">
        <x:v>1000</x:v>
      </x:c>
      <x:c r="M596" s="48" t="n">
        <x:v>0</x:v>
      </x:c>
      <x:c r="N596" s="48" t="n">
        <x:v>0.14</x:v>
      </x:c>
      <x:c r="O596" s="48" t="n">
        <x:v>0.74</x:v>
      </x:c>
      <x:c r="P596" s="48" t="n">
        <x:v>0.22</x:v>
      </x:c>
      <x:c r="Q596" s="48" t="n">
        <x:v>0.66</x:v>
      </x:c>
      <x:c r="R596" s="31" t="str">
        <x:v>ok</x:v>
      </x:c>
      <x:c r="S596" s="51" t="n">
        <x:v>0.9566599130630493</x:v>
      </x:c>
      <x:c r="T596" s="31" t="str">
        <x:v>https://mp.weixin.qq.com/s?__biz=MzUxOTMxNjk0OQ==&amp;mid=2247508289&amp;idx=1&amp;sn=96ed6de5de9ab7f6bd2e4bc8ed6644b2&amp;chksm=f9f995fbce8e1ced623f84909a303cc1f05d4ad00a83075b7ad2ad4421cd727ee8292b87cdeb#rd</x:v>
      </x:c>
    </x:row>
    <x:row r="597">
      <x:c r="A597" s="36" t="d">
        <x:v>2026-08-19T00:00:00.000Z</x:v>
      </x:c>
      <x:c r="B597" s="48" t="n">
        <x:v>186.91</x:v>
      </x:c>
      <x:c r="C597" s="48" t="n">
        <x:v>11.4</x:v>
      </x:c>
      <x:c r="D597" s="48" t="n">
        <x:v>197.79</x:v>
      </x:c>
      <x:c r="E597" s="48" t="n">
        <x:v>12.77</x:v>
      </x:c>
      <x:c r="F597" s="48" t="n">
        <x:v>310</x:v>
      </x:c>
      <x:c r="G597" s="48" t="n">
        <x:v>0</x:v>
      </x:c>
      <x:c r="H597" s="48" t="n">
        <x:v>310</x:v>
      </x:c>
      <x:c r="I597" s="48" t="n">
        <x:v>0</x:v>
      </x:c>
      <x:c r="J597" s="48" t="n">
        <x:v>332</x:v>
      </x:c>
      <x:c r="K597" s="48" t="n">
        <x:v>0</x:v>
      </x:c>
      <x:c r="L597" s="48" t="n">
        <x:v>332</x:v>
      </x:c>
      <x:c r="M597" s="48" t="n">
        <x:v>0</x:v>
      </x:c>
      <x:c r="N597" s="48" t="n">
        <x:v>0.46</x:v>
      </x:c>
      <x:c r="O597" s="48" t="n">
        <x:v>0.95</x:v>
      </x:c>
      <x:c r="P597" s="48" t="n">
        <x:v>0.52</x:v>
      </x:c>
      <x:c r="Q597" s="48" t="n">
        <x:v>0.96</x:v>
      </x:c>
      <x:c r="R597" s="31" t="str">
        <x:v>ok</x:v>
      </x:c>
      <x:c r="S597" s="51" t="n">
        <x:v>0.9999892115592957</x:v>
      </x:c>
      <x:c r="T597" s="31" t="str">
        <x:v>https://mp.weixin.qq.com/s?__biz=MzUxOTMxNjk0OQ==&amp;mid=2247508293&amp;idx=1&amp;sn=37579d7540b54a6ae3f9d0bd9a54eb98&amp;chksm=f9f995ffce8e1ce92b20f71e3ee6e9212ae6453cae344997c2a66d5be5dad9b3ef66238b9e51#rd</x:v>
      </x:c>
    </x:row>
    <x:row r="598">
      <x:c r="A598" s="36" t="d">
        <x:v>2026-08-20T00:00:00.000Z</x:v>
      </x:c>
      <x:c r="B598" s="48" t="n">
        <x:v>77.56</x:v>
      </x:c>
      <x:c r="C598" s="48" t="n">
        <x:v>9.09</x:v>
      </x:c>
      <x:c r="D598" s="48" t="n">
        <x:v>97.73</x:v>
      </x:c>
      <x:c r="E598" s="48" t="n">
        <x:v>10.47</x:v>
      </x:c>
      <x:c r="F598" s="48" t="n">
        <x:v>322</x:v>
      </x:c>
      <x:c r="G598" s="48" t="n">
        <x:v>0</x:v>
      </x:c>
      <x:c r="H598" s="48" t="n">
        <x:v>322</x:v>
      </x:c>
      <x:c r="I598" s="48" t="n">
        <x:v>0</x:v>
      </x:c>
      <x:c r="J598" s="48" t="n">
        <x:v>1000</x:v>
      </x:c>
      <x:c r="K598" s="48" t="n">
        <x:v>0</x:v>
      </x:c>
      <x:c r="L598" s="48" t="n">
        <x:v>1000</x:v>
      </x:c>
      <x:c r="M598" s="48" t="n">
        <x:v>0</x:v>
      </x:c>
      <x:c r="N598" s="48" t="n">
        <x:v>0.69</x:v>
      </x:c>
      <x:c r="O598" s="48" t="n">
        <x:v>0.96</x:v>
      </x:c>
      <x:c r="P598" s="48" t="n">
        <x:v>0.87</x:v>
      </x:c>
      <x:c r="Q598" s="48" t="n">
        <x:v>0.95</x:v>
      </x:c>
      <x:c r="R598" s="31" t="str">
        <x:v>ok</x:v>
      </x:c>
      <x:c r="S598" s="51" t="n">
        <x:v>0.9993481636047363</x:v>
      </x:c>
      <x:c r="T598" s="31" t="str">
        <x:v>https://mp.weixin.qq.com/s?__biz=MzUxOTMxNjk0OQ==&amp;mid=2247508309&amp;idx=1&amp;sn=2f2613e6ee2cc9fe3a64efc0bd9ba507&amp;chksm=f9f995efce8e1cf9d8d8cc588bfbc6c2fd75c45da264f77639651771b7a96145d648dc562d3f#rd</x:v>
      </x:c>
    </x:row>
    <x:row r="599">
      <x:c r="A599" s="36" t="d">
        <x:v>2026-08-21T00:00:00.000Z</x:v>
      </x:c>
      <x:c r="B599" s="48" t="n">
        <x:v>166.3</x:v>
      </x:c>
      <x:c r="C599" s="48" t="n">
        <x:v>30.7</x:v>
      </x:c>
      <x:c r="D599" s="48" t="n">
        <x:v>204.91</x:v>
      </x:c>
      <x:c r="E599" s="48" t="n">
        <x:v>22.36</x:v>
      </x:c>
      <x:c r="F599" s="48" t="n">
        <x:v>1000</x:v>
      </x:c>
      <x:c r="G599" s="48" t="n">
        <x:v>0</x:v>
      </x:c>
      <x:c r="H599" s="48" t="n">
        <x:v>1000</x:v>
      </x:c>
      <x:c r="I599" s="48" t="n">
        <x:v>0</x:v>
      </x:c>
      <x:c r="J599" s="48" t="n">
        <x:v>1000</x:v>
      </x:c>
      <x:c r="K599" s="48" t="n">
        <x:v>0</x:v>
      </x:c>
      <x:c r="L599" s="48" t="n">
        <x:v>1000</x:v>
      </x:c>
      <x:c r="M599" s="48" t="n">
        <x:v>0</x:v>
      </x:c>
      <x:c r="N599" s="48" t="n">
        <x:v>0.79</x:v>
      </x:c>
      <x:c r="O599" s="48" t="n">
        <x:v>0.99</x:v>
      </x:c>
      <x:c r="P599" s="48" t="n">
        <x:v>0.94</x:v>
      </x:c>
      <x:c r="Q599" s="48" t="n">
        <x:v>0.95</x:v>
      </x:c>
      <x:c r="R599" s="31" t="str">
        <x:v>ok</x:v>
      </x:c>
      <x:c r="S599" s="51" t="n">
        <x:v>0.9883944988250732</x:v>
      </x:c>
      <x:c r="T599" s="31" t="str">
        <x:v>https://mp.weixin.qq.com/s?__biz=MzUxOTMxNjk0OQ==&amp;mid=2247508310&amp;idx=1&amp;sn=97c9f51c881c725accf4af5864c6458a&amp;chksm=f9f995ecce8e1cfa88f21432288ffb05d3c341d5585cfa779d9deab2d718caa1ec7484671f1c#rd</x:v>
      </x:c>
    </x:row>
    <x:row r="600">
      <x:c r="A600" s="36" t="d">
        <x:v>2026-08-22T00:00:00.000Z</x:v>
      </x:c>
      <x:c r="B600" s="48" t="n">
        <x:v>284.7</x:v>
      </x:c>
      <x:c r="C600" s="48" t="n">
        <x:v>69.4</x:v>
      </x:c>
      <x:c r="D600" s="48" t="n">
        <x:v>319.75</x:v>
      </x:c>
      <x:c r="E600" s="48" t="n">
        <x:v>150.5</x:v>
      </x:c>
      <x:c r="F600" s="48" t="n">
        <x:v>990</x:v>
      </x:c>
      <x:c r="G600" s="48" t="n">
        <x:v>0</x:v>
      </x:c>
      <x:c r="H600" s="48" t="n">
        <x:v>990</x:v>
      </x:c>
      <x:c r="I600" s="48" t="n">
        <x:v>0</x:v>
      </x:c>
      <x:c r="J600" s="48" t="n">
        <x:v>1000</x:v>
      </x:c>
      <x:c r="K600" s="48" t="n">
        <x:v>0</x:v>
      </x:c>
      <x:c r="L600" s="48" t="n">
        <x:v>1000</x:v>
      </x:c>
      <x:c r="M600" s="48" t="n">
        <x:v>0</x:v>
      </x:c>
      <x:c r="N600" s="48" t="n">
        <x:v>0.56</x:v>
      </x:c>
      <x:c r="O600" s="48" t="n">
        <x:v>0.98</x:v>
      </x:c>
      <x:c r="P600" s="48" t="n">
        <x:v>0.67</x:v>
      </x:c>
      <x:c r="Q600" s="48" t="n">
        <x:v>0.89</x:v>
      </x:c>
      <x:c r="R600" s="31" t="str">
        <x:v>ok</x:v>
      </x:c>
      <x:c r="S600" s="51" t="n">
        <x:v>0.9999866485595703</x:v>
      </x:c>
      <x:c r="T600" s="31" t="str">
        <x:v>https://mp.weixin.qq.com/s?__biz=MzUxOTMxNjk0OQ==&amp;mid=2247508312&amp;idx=1&amp;sn=deea6c6731fa7ef34982fb66f88fc453&amp;chksm=f9f995e2ce8e1cf4ce5c283465c6f42f1007f8c99911c1cf4fe1db4192674b4c976d9d373dd5#rd</x:v>
      </x:c>
    </x:row>
    <x:row r="601">
      <x:c r="A601" s="36" t="d">
        <x:v>2026-08-23T00:00:00.000Z</x:v>
      </x:c>
      <x:c r="B601" s="48" t="n">
        <x:v>405.13</x:v>
      </x:c>
      <x:c r="C601" s="48" t="n">
        <x:v>276.95</x:v>
      </x:c>
      <x:c r="D601" s="48" t="n">
        <x:v>514.97</x:v>
      </x:c>
      <x:c r="E601" s="48" t="n">
        <x:v>309.89</x:v>
      </x:c>
      <x:c r="F601" s="48" t="n">
        <x:v>1000</x:v>
      </x:c>
      <x:c r="G601" s="48" t="n">
        <x:v>0</x:v>
      </x:c>
      <x:c r="H601" s="48" t="n">
        <x:v>1000</x:v>
      </x:c>
      <x:c r="I601" s="48" t="n">
        <x:v>0</x:v>
      </x:c>
      <x:c r="J601" s="48" t="n">
        <x:v>1000</x:v>
      </x:c>
      <x:c r="K601" s="48" t="n">
        <x:v>0</x:v>
      </x:c>
      <x:c r="L601" s="48" t="n">
        <x:v>1000</x:v>
      </x:c>
      <x:c r="M601" s="48" t="n">
        <x:v>0</x:v>
      </x:c>
      <x:c r="N601" s="48" t="n">
        <x:v>0.2</x:v>
      </x:c>
      <x:c r="O601" s="48" t="n">
        <x:v>0.7</x:v>
      </x:c>
      <x:c r="P601" s="48" t="n">
        <x:v>0.23</x:v>
      </x:c>
      <x:c r="Q601" s="48" t="n">
        <x:v>0.69</x:v>
      </x:c>
      <x:c r="R601" s="31" t="str">
        <x:v>ok</x:v>
      </x:c>
      <x:c r="S601" s="51" t="n">
        <x:v>0.9990072846412659</x:v>
      </x:c>
      <x:c r="T601" s="31" t="str">
        <x:v>https://mp.weixin.qq.com/s?__biz=MzUxOTMxNjk0OQ==&amp;mid=2247508320&amp;idx=1&amp;sn=e713f1c01e8f55fb24b33a89441a7c91&amp;chksm=f9f995dace8e1ccc26339503680907736d4bba00b40149d311d4658dcc24ec0c865b95249c7b#rd</x:v>
      </x:c>
    </x:row>
    <x:row r="602">
      <x:c r="A602" s="36" t="d">
        <x:v>2026-08-24T00:00:00.000Z</x:v>
      </x:c>
      <x:c r="B602" s="48"/>
      <x:c r="C602" s="48"/>
      <x:c r="D602" s="48"/>
      <x:c r="E602" s="48"/>
      <x:c r="F602" s="48"/>
      <x:c r="G602" s="48"/>
      <x:c r="H602" s="48"/>
      <x:c r="I602" s="48"/>
      <x:c r="J602" s="48"/>
      <x:c r="K602" s="48"/>
      <x:c r="L602" s="48"/>
      <x:c r="M602" s="48"/>
      <x:c r="N602" s="48"/>
      <x:c r="O602" s="48"/>
      <x:c r="P602" s="48"/>
      <x:c r="Q602" s="48"/>
      <x:c r="R602" s="31" t="str">
        <x:v>公众号日报缺失</x:v>
      </x:c>
      <x:c r="S602" s="51"/>
      <x:c r="T602" s="31"/>
    </x:row>
    <x:row r="603">
      <x:c r="A603" s="36" t="d">
        <x:v>2026-08-25T00:00:00.000Z</x:v>
      </x:c>
      <x:c r="B603" s="48"/>
      <x:c r="C603" s="48"/>
      <x:c r="D603" s="48"/>
      <x:c r="E603" s="48"/>
      <x:c r="F603" s="48"/>
      <x:c r="G603" s="48"/>
      <x:c r="H603" s="48"/>
      <x:c r="I603" s="48"/>
      <x:c r="J603" s="48"/>
      <x:c r="K603" s="48"/>
      <x:c r="L603" s="48"/>
      <x:c r="M603" s="48"/>
      <x:c r="N603" s="48"/>
      <x:c r="O603" s="48"/>
      <x:c r="P603" s="48"/>
      <x:c r="Q603" s="48"/>
      <x:c r="R603" s="31" t="str">
        <x:v>公众号日报缺失</x:v>
      </x:c>
      <x:c r="S603" s="51"/>
      <x:c r="T603" s="31"/>
    </x:row>
    <x:row r="604">
      <x:c r="A604" s="36" t="d">
        <x:v>2026-08-26T00:00:00.000Z</x:v>
      </x:c>
      <x:c r="B604" s="48" t="n">
        <x:v>369.22</x:v>
      </x:c>
      <x:c r="C604" s="48" t="n">
        <x:v>307.15</x:v>
      </x:c>
      <x:c r="D604" s="48" t="n">
        <x:v>440.01</x:v>
      </x:c>
      <x:c r="E604" s="48" t="n">
        <x:v>402.48</x:v>
      </x:c>
      <x:c r="F604" s="48" t="n">
        <x:v>1000</x:v>
      </x:c>
      <x:c r="G604" s="48" t="n">
        <x:v>0</x:v>
      </x:c>
      <x:c r="H604" s="48" t="n">
        <x:v>1000</x:v>
      </x:c>
      <x:c r="I604" s="48" t="n">
        <x:v>0</x:v>
      </x:c>
      <x:c r="J604" s="48" t="n">
        <x:v>1000</x:v>
      </x:c>
      <x:c r="K604" s="48" t="n">
        <x:v>0</x:v>
      </x:c>
      <x:c r="L604" s="48" t="n">
        <x:v>1000</x:v>
      </x:c>
      <x:c r="M604" s="48" t="n">
        <x:v>0</x:v>
      </x:c>
      <x:c r="N604" s="48" t="n">
        <x:v>0.57</x:v>
      </x:c>
      <x:c r="O604" s="48" t="n">
        <x:v>0.72</x:v>
      </x:c>
      <x:c r="P604" s="48" t="n">
        <x:v>0.34</x:v>
      </x:c>
      <x:c r="Q604" s="48" t="n">
        <x:v>0.67</x:v>
      </x:c>
      <x:c r="R604" s="31" t="str">
        <x:v>ok</x:v>
      </x:c>
      <x:c r="S604" s="51" t="n">
        <x:v>0.9382590651512146</x:v>
      </x:c>
      <x:c r="T604" s="31" t="str">
        <x:v>https://mp.weixin.qq.com/s?__biz=MzUxOTMxNjk0OQ==&amp;mid=2247508338&amp;idx=1&amp;sn=2063c8ffa3238439af73f400b2a0e7aa&amp;chksm=f9f995c8ce8e1cde31e524fb31a3d39f054f4256058cb530af0731ec27ca6338b24dd7df6ce3#rd</x:v>
      </x:c>
    </x:row>
    <x:row r="605">
      <x:c r="A605" s="36" t="d">
        <x:v>2026-08-27T00:00:00.000Z</x:v>
      </x:c>
      <x:c r="B605" s="48" t="n">
        <x:v>428.38</x:v>
      </x:c>
      <x:c r="C605" s="48" t="n">
        <x:v>389.03</x:v>
      </x:c>
      <x:c r="D605" s="48" t="n">
        <x:v>461.75</x:v>
      </x:c>
      <x:c r="E605" s="48" t="n">
        <x:v>418.91</x:v>
      </x:c>
      <x:c r="F605" s="48" t="n">
        <x:v>1000</x:v>
      </x:c>
      <x:c r="G605" s="48" t="n">
        <x:v>0</x:v>
      </x:c>
      <x:c r="H605" s="48" t="n">
        <x:v>1000</x:v>
      </x:c>
      <x:c r="I605" s="48" t="n">
        <x:v>0</x:v>
      </x:c>
      <x:c r="J605" s="48" t="n">
        <x:v>1000</x:v>
      </x:c>
      <x:c r="K605" s="48" t="n">
        <x:v>0</x:v>
      </x:c>
      <x:c r="L605" s="48" t="n">
        <x:v>1000</x:v>
      </x:c>
      <x:c r="M605" s="48" t="n">
        <x:v>0</x:v>
      </x:c>
      <x:c r="N605" s="48" t="n">
        <x:v>0.24</x:v>
      </x:c>
      <x:c r="O605" s="48" t="n">
        <x:v>0.61</x:v>
      </x:c>
      <x:c r="P605" s="48" t="n">
        <x:v>0.25</x:v>
      </x:c>
      <x:c r="Q605" s="48" t="n">
        <x:v>0.57</x:v>
      </x:c>
      <x:c r="R605" s="31" t="str">
        <x:v>ok</x:v>
      </x:c>
      <x:c r="S605" s="51" t="n">
        <x:v>0.9998060464859009</x:v>
      </x:c>
      <x:c r="T605" s="31" t="str">
        <x:v>https://mp.weixin.qq.com/s?__biz=MzUxOTMxNjk0OQ==&amp;mid=2247508352&amp;idx=1&amp;sn=82979932a256acbfa4ad8e78d33fa8a4&amp;chksm=f9f9953ace8e1c2c595c0c758924a4ba7eb84feed8030e878f7c33d16f72090e0395b1ddd88c#rd</x:v>
      </x:c>
    </x:row>
    <x:row r="606">
      <x:c r="A606" s="36" t="d">
        <x:v>2026-08-28T00:00:00.000Z</x:v>
      </x:c>
      <x:c r="B606" s="48" t="n">
        <x:v>469.13</x:v>
      </x:c>
      <x:c r="C606" s="48" t="n">
        <x:v>586.86</x:v>
      </x:c>
      <x:c r="D606" s="48" t="n">
        <x:v>310.88</x:v>
      </x:c>
      <x:c r="E606" s="48" t="n">
        <x:v>349.38</x:v>
      </x:c>
      <x:c r="F606" s="48" t="n">
        <x:v>1000</x:v>
      </x:c>
      <x:c r="G606" s="48" t="n">
        <x:v>0</x:v>
      </x:c>
      <x:c r="H606" s="48" t="n">
        <x:v>1000</x:v>
      </x:c>
      <x:c r="I606" s="48" t="n">
        <x:v>0</x:v>
      </x:c>
      <x:c r="J606" s="48" t="n">
        <x:v>1000</x:v>
      </x:c>
      <x:c r="K606" s="48" t="n">
        <x:v>0</x:v>
      </x:c>
      <x:c r="L606" s="48" t="n">
        <x:v>1000</x:v>
      </x:c>
      <x:c r="M606" s="48" t="n">
        <x:v>0</x:v>
      </x:c>
      <x:c r="N606" s="48" t="n">
        <x:v>0.48</x:v>
      </x:c>
      <x:c r="O606" s="48" t="n">
        <x:v>0.38</x:v>
      </x:c>
      <x:c r="P606" s="48" t="n">
        <x:v>0.46</x:v>
      </x:c>
      <x:c r="Q606" s="48" t="n">
        <x:v>0.37</x:v>
      </x:c>
      <x:c r="R606" s="31" t="str">
        <x:v>ok</x:v>
      </x:c>
      <x:c r="S606" s="51" t="n">
        <x:v>0.9999802112579346</x:v>
      </x:c>
      <x:c r="T606" s="31" t="str">
        <x:v>https://mp.weixin.qq.com/s?__biz=MzUxOTMxNjk0OQ==&amp;mid=2247508371&amp;idx=1&amp;sn=49af8097abeedc3d4050d435d277067d&amp;chksm=f9f99529ce8e1c3f7723ad6da560aca343f3008752060a04c5c1803255f840e20f478316411e#rd</x:v>
      </x:c>
    </x:row>
    <x:row r="607">
      <x:c r="A607" s="36" t="d">
        <x:v>2026-08-29T00:00:00.000Z</x:v>
      </x:c>
      <x:c r="B607" s="48" t="n">
        <x:v>131.43</x:v>
      </x:c>
      <x:c r="C607" s="48" t="n">
        <x:v>51.06</x:v>
      </x:c>
      <x:c r="D607" s="48" t="n">
        <x:v>120.06</x:v>
      </x:c>
      <x:c r="E607" s="48" t="n">
        <x:v>109.84</x:v>
      </x:c>
      <x:c r="F607" s="48" t="n">
        <x:v>520.84</x:v>
      </x:c>
      <x:c r="G607" s="48" t="n">
        <x:v>0</x:v>
      </x:c>
      <x:c r="H607" s="48" t="n">
        <x:v>520.84</x:v>
      </x:c>
      <x:c r="I607" s="48" t="n">
        <x:v>0</x:v>
      </x:c>
      <x:c r="J607" s="48" t="n">
        <x:v>490.98</x:v>
      </x:c>
      <x:c r="K607" s="48" t="n">
        <x:v>0</x:v>
      </x:c>
      <x:c r="L607" s="48" t="n">
        <x:v>490.98</x:v>
      </x:c>
      <x:c r="M607" s="48" t="n">
        <x:v>0</x:v>
      </x:c>
      <x:c r="N607" s="48" t="n">
        <x:v>0.47</x:v>
      </x:c>
      <x:c r="O607" s="48" t="n">
        <x:v>0.8</x:v>
      </x:c>
      <x:c r="P607" s="48" t="n">
        <x:v>0.46</x:v>
      </x:c>
      <x:c r="Q607" s="48" t="n">
        <x:v>0.73</x:v>
      </x:c>
      <x:c r="R607" s="31" t="str">
        <x:v>ok</x:v>
      </x:c>
      <x:c r="S607" s="51" t="n">
        <x:v>0.9999940991401672</x:v>
      </x:c>
      <x:c r="T607" s="31" t="str">
        <x:v>https://mp.weixin.qq.com/s?__biz=MzUxOTMxNjk0OQ==&amp;mid=2247508373&amp;idx=1&amp;sn=5775242f01351f95255fc9f692487e0a&amp;chksm=f9f9952fce8e1c39a0297087156ea17c215674d58075aa2b2cc1929653b3809fae91c95c45e3#rd</x:v>
      </x:c>
    </x:row>
    <x:row r="608">
      <x:c r="A608" s="36" t="d">
        <x:v>2026-08-30T00:00:00.000Z</x:v>
      </x:c>
      <x:c r="B608" s="48" t="n">
        <x:v>326.23</x:v>
      </x:c>
      <x:c r="C608" s="48" t="n">
        <x:v>33.07</x:v>
      </x:c>
      <x:c r="D608" s="48" t="n">
        <x:v>313.1</x:v>
      </x:c>
      <x:c r="E608" s="48" t="n">
        <x:v>39.2</x:v>
      </x:c>
      <x:c r="F608" s="48" t="n">
        <x:v>1000</x:v>
      </x:c>
      <x:c r="G608" s="48" t="n">
        <x:v>0</x:v>
      </x:c>
      <x:c r="H608" s="48" t="n">
        <x:v>1000</x:v>
      </x:c>
      <x:c r="I608" s="48" t="n">
        <x:v>0</x:v>
      </x:c>
      <x:c r="J608" s="48" t="n">
        <x:v>489</x:v>
      </x:c>
      <x:c r="K608" s="48" t="n">
        <x:v>0</x:v>
      </x:c>
      <x:c r="L608" s="48" t="n">
        <x:v>489</x:v>
      </x:c>
      <x:c r="M608" s="48" t="n">
        <x:v>0</x:v>
      </x:c>
      <x:c r="N608" s="48" t="n">
        <x:v>0.14</x:v>
      </x:c>
      <x:c r="O608" s="48" t="n">
        <x:v>0.94</x:v>
      </x:c>
      <x:c r="P608" s="48" t="n">
        <x:v>0.14</x:v>
      </x:c>
      <x:c r="Q608" s="48" t="n">
        <x:v>0.98</x:v>
      </x:c>
      <x:c r="R608" s="31" t="str">
        <x:v>ok</x:v>
      </x:c>
      <x:c r="S608" s="51" t="n">
        <x:v>0.9624441862106323</x:v>
      </x:c>
      <x:c r="T608" s="31" t="str">
        <x:v>https://mp.weixin.qq.com/s?__biz=MzUxOTMxNjk0OQ==&amp;mid=2247508377&amp;idx=1&amp;sn=0efbf8c8cbd15a7fbf69bffe0982da8e&amp;chksm=f9f99523ce8e1c3580af95a3a5cadff747dd6ea4e0a19d958c0d28338a1f0b7b8c034271605e#rd</x:v>
      </x:c>
    </x:row>
    <x:row r="609">
      <x:c r="A609" s="36" t="d">
        <x:v>2026-08-31T00:00:00.000Z</x:v>
      </x:c>
      <x:c r="B609" s="48" t="n">
        <x:v>318.57</x:v>
      </x:c>
      <x:c r="C609" s="48" t="n">
        <x:v>35.24</x:v>
      </x:c>
      <x:c r="D609" s="48" t="n">
        <x:v>243.75</x:v>
      </x:c>
      <x:c r="E609" s="48" t="n">
        <x:v>34.77</x:v>
      </x:c>
      <x:c r="F609" s="48" t="n">
        <x:v>472</x:v>
      </x:c>
      <x:c r="G609" s="48" t="n">
        <x:v>0</x:v>
      </x:c>
      <x:c r="H609" s="48" t="n">
        <x:v>472</x:v>
      </x:c>
      <x:c r="I609" s="48" t="n">
        <x:v>0</x:v>
      </x:c>
      <x:c r="J609" s="48" t="n">
        <x:v>450</x:v>
      </x:c>
      <x:c r="K609" s="48" t="n">
        <x:v>0</x:v>
      </x:c>
      <x:c r="L609" s="48" t="n">
        <x:v>450</x:v>
      </x:c>
      <x:c r="M609" s="48" t="n">
        <x:v>0</x:v>
      </x:c>
      <x:c r="N609" s="48" t="n">
        <x:v>0.21</x:v>
      </x:c>
      <x:c r="O609" s="48" t="n">
        <x:v>0.97</x:v>
      </x:c>
      <x:c r="P609" s="48" t="n">
        <x:v>0.24</x:v>
      </x:c>
      <x:c r="Q609" s="48" t="n">
        <x:v>1.01</x:v>
      </x:c>
      <x:c r="R609" s="31" t="str">
        <x:v>ok</x:v>
      </x:c>
      <x:c r="S609" s="51" t="n">
        <x:v>0.9999873638153076</x:v>
      </x:c>
      <x:c r="T609" s="31" t="str">
        <x:v>https://mp.weixin.qq.com/s?__biz=MzUxOTMxNjk0OQ==&amp;mid=2247508383&amp;idx=1&amp;sn=878bc99506bdadd45fd0f585460c51ea&amp;chksm=f9f99525ce8e1c33b62ab2be5c9cdd71d62e485f8cf756989c4ab8cae6f4aa6a15eaccbc6c81#rd</x:v>
      </x:c>
    </x:row>
    <x:row r="610">
      <x:c r="A610" s="36" t="d">
        <x:v>2026-09-01T00:00:00.000Z</x:v>
      </x:c>
      <x:c r="B610" s="48" t="n">
        <x:v>299.88</x:v>
      </x:c>
      <x:c r="C610" s="48" t="n">
        <x:v>39.95</x:v>
      </x:c>
      <x:c r="D610" s="48" t="n">
        <x:v>263.98</x:v>
      </x:c>
      <x:c r="E610" s="48" t="n">
        <x:v>32.19</x:v>
      </x:c>
      <x:c r="F610" s="48" t="n">
        <x:v>441</x:v>
      </x:c>
      <x:c r="G610" s="48" t="n">
        <x:v>0</x:v>
      </x:c>
      <x:c r="H610" s="48" t="n">
        <x:v>441</x:v>
      </x:c>
      <x:c r="I610" s="48" t="n">
        <x:v>0</x:v>
      </x:c>
      <x:c r="J610" s="48" t="n">
        <x:v>454.03</x:v>
      </x:c>
      <x:c r="K610" s="48" t="n">
        <x:v>0</x:v>
      </x:c>
      <x:c r="L610" s="48" t="n">
        <x:v>454.03</x:v>
      </x:c>
      <x:c r="M610" s="48" t="n">
        <x:v>0</x:v>
      </x:c>
      <x:c r="N610" s="48" t="n">
        <x:v>0.55</x:v>
      </x:c>
      <x:c r="O610" s="48" t="n">
        <x:v>1.06</x:v>
      </x:c>
      <x:c r="P610" s="48" t="n">
        <x:v>0.57</x:v>
      </x:c>
      <x:c r="Q610" s="48" t="n">
        <x:v>1.02</x:v>
      </x:c>
      <x:c r="R610" s="31" t="str">
        <x:v>ok</x:v>
      </x:c>
      <x:c r="S610" s="51" t="n">
        <x:v>0.9999867677688599</x:v>
      </x:c>
      <x:c r="T610" s="31" t="str">
        <x:v>https://mp.weixin.qq.com/s?__biz=MzUxOTMxNjk0OQ==&amp;mid=2247508388&amp;idx=1&amp;sn=4f88a54976d80acec48e56bf12b137bf&amp;chksm=f9f9951ece8e1c0880d2dfa4e6e865c9c4f8f9b6e26ba04dca3f908275b3e1af6769cfa6be3b#rd</x:v>
      </x:c>
    </x:row>
    <x:row r="611">
      <x:c r="A611" s="36" t="d">
        <x:v>2026-09-02T00:00:00.000Z</x:v>
      </x:c>
      <x:c r="B611" s="48" t="n">
        <x:v>244.79</x:v>
      </x:c>
      <x:c r="C611" s="48" t="n">
        <x:v>53.48</x:v>
      </x:c>
      <x:c r="D611" s="48" t="n">
        <x:v>254.53</x:v>
      </x:c>
      <x:c r="E611" s="48" t="n">
        <x:v>78.13</x:v>
      </x:c>
      <x:c r="F611" s="48" t="n">
        <x:v>477.2</x:v>
      </x:c>
      <x:c r="G611" s="48" t="n">
        <x:v>0</x:v>
      </x:c>
      <x:c r="H611" s="48" t="n">
        <x:v>477.2</x:v>
      </x:c>
      <x:c r="I611" s="48" t="n">
        <x:v>0</x:v>
      </x:c>
      <x:c r="J611" s="48" t="n">
        <x:v>534</x:v>
      </x:c>
      <x:c r="K611" s="48" t="n">
        <x:v>0</x:v>
      </x:c>
      <x:c r="L611" s="48" t="n">
        <x:v>534</x:v>
      </x:c>
      <x:c r="M611" s="48" t="n">
        <x:v>0</x:v>
      </x:c>
      <x:c r="N611" s="48" t="n">
        <x:v>0.85</x:v>
      </x:c>
      <x:c r="O611" s="48" t="n">
        <x:v>1.06</x:v>
      </x:c>
      <x:c r="P611" s="48" t="n">
        <x:v>0.87</x:v>
      </x:c>
      <x:c r="Q611" s="48" t="n">
        <x:v>1.04</x:v>
      </x:c>
      <x:c r="R611" s="31" t="str">
        <x:v>ok</x:v>
      </x:c>
      <x:c r="S611" s="51" t="n">
        <x:v>0.9999853372573853</x:v>
      </x:c>
      <x:c r="T611" s="31" t="str">
        <x:v>https://mp.weixin.qq.com/s?__biz=MzUxOTMxNjk0OQ==&amp;mid=2247508393&amp;idx=1&amp;sn=2b031573351216aca13d298104133c4f&amp;chksm=f9f99513ce8e1c0516ec88e64a380791892c7875295409d5d674b8f57156af7ef0975ade9ed8#rd</x:v>
      </x:c>
    </x:row>
    <x:row r="612">
      <x:c r="A612" s="36" t="d">
        <x:v>2026-09-03T00:00:00.000Z</x:v>
      </x:c>
      <x:c r="B612" s="48" t="n">
        <x:v>234.5</x:v>
      </x:c>
      <x:c r="C612" s="48" t="n">
        <x:v>39.19</x:v>
      </x:c>
      <x:c r="D612" s="48" t="n">
        <x:v>247.35</x:v>
      </x:c>
      <x:c r="E612" s="48" t="n">
        <x:v>88.94</x:v>
      </x:c>
      <x:c r="F612" s="48" t="n">
        <x:v>429.28</x:v>
      </x:c>
      <x:c r="G612" s="48" t="n">
        <x:v>0</x:v>
      </x:c>
      <x:c r="H612" s="48" t="n">
        <x:v>429.28</x:v>
      </x:c>
      <x:c r="I612" s="48" t="n">
        <x:v>0</x:v>
      </x:c>
      <x:c r="J612" s="48" t="n">
        <x:v>533.98</x:v>
      </x:c>
      <x:c r="K612" s="48" t="n">
        <x:v>0</x:v>
      </x:c>
      <x:c r="L612" s="48" t="n">
        <x:v>533.98</x:v>
      </x:c>
      <x:c r="M612" s="48" t="n">
        <x:v>0</x:v>
      </x:c>
      <x:c r="N612" s="48" t="n">
        <x:v>1.04</x:v>
      </x:c>
      <x:c r="O612" s="48" t="n">
        <x:v>0.96</x:v>
      </x:c>
      <x:c r="P612" s="48" t="n">
        <x:v>1.02</x:v>
      </x:c>
      <x:c r="Q612" s="48" t="n">
        <x:v>0.97</x:v>
      </x:c>
      <x:c r="R612" s="31" t="str">
        <x:v>ok</x:v>
      </x:c>
      <x:c r="S612" s="51" t="n">
        <x:v>0.9999845027923584</x:v>
      </x:c>
      <x:c r="T612" s="31" t="str">
        <x:v>https://mp.weixin.qq.com/s?__biz=MzUxOTMxNjk0OQ==&amp;mid=2247508409&amp;idx=1&amp;sn=7c34acacb099b7013d7a8e2ed957e3c1&amp;chksm=f9f99503ce8e1c15f4e1ba31bdf53629dd97ff6bb3667aa3819fe311ab2cb740e9b5518e4751#rd</x:v>
      </x:c>
    </x:row>
    <x:row r="613">
      <x:c r="A613" s="36" t="d">
        <x:v>2026-09-04T00:00:00.000Z</x:v>
      </x:c>
      <x:c r="B613" s="48" t="n">
        <x:v>256.81</x:v>
      </x:c>
      <x:c r="C613" s="48" t="n">
        <x:v>57.03</x:v>
      </x:c>
      <x:c r="D613" s="48" t="n">
        <x:v>309.34</x:v>
      </x:c>
      <x:c r="E613" s="48" t="n">
        <x:v>96.13</x:v>
      </x:c>
      <x:c r="F613" s="48" t="n">
        <x:v>1000</x:v>
      </x:c>
      <x:c r="G613" s="48" t="n">
        <x:v>0</x:v>
      </x:c>
      <x:c r="H613" s="48" t="n">
        <x:v>1000</x:v>
      </x:c>
      <x:c r="I613" s="48" t="n">
        <x:v>0</x:v>
      </x:c>
      <x:c r="J613" s="48" t="n">
        <x:v>1000</x:v>
      </x:c>
      <x:c r="K613" s="48" t="n">
        <x:v>0</x:v>
      </x:c>
      <x:c r="L613" s="48" t="n">
        <x:v>1000</x:v>
      </x:c>
      <x:c r="M613" s="48" t="n">
        <x:v>0</x:v>
      </x:c>
      <x:c r="N613" s="48" t="n">
        <x:v>0.84</x:v>
      </x:c>
      <x:c r="O613" s="48" t="n">
        <x:v>0.95</x:v>
      </x:c>
      <x:c r="P613" s="48" t="n">
        <x:v>0.8</x:v>
      </x:c>
      <x:c r="Q613" s="48" t="n">
        <x:v>0.92</x:v>
      </x:c>
      <x:c r="R613" s="31" t="str">
        <x:v>ok</x:v>
      </x:c>
      <x:c r="S613" s="51" t="n">
        <x:v>0.9999830722808838</x:v>
      </x:c>
      <x:c r="T613" s="31" t="str">
        <x:v>https://mp.weixin.qq.com/s?__biz=MzUxOTMxNjk0OQ==&amp;mid=2247508419&amp;idx=1&amp;sn=f72c582b6aeb7d7f3215d2dc5707b98d&amp;chksm=f9f99579ce8e1c6f76c961b45fc3216eab613115aafa1a1099a7727f020bd5f16ed08db999aa#rd</x:v>
      </x:c>
    </x:row>
    <x:row r="614">
      <x:c r="A614" s="36" t="d">
        <x:v>2026-09-05T00:00:00.000Z</x:v>
      </x:c>
      <x:c r="B614" s="48" t="n">
        <x:v>275.56</x:v>
      </x:c>
      <x:c r="C614" s="48" t="n">
        <x:v>66.36</x:v>
      </x:c>
      <x:c r="D614" s="48" t="n">
        <x:v>352.94</x:v>
      </x:c>
      <x:c r="E614" s="48" t="n">
        <x:v>172.9</x:v>
      </x:c>
      <x:c r="F614" s="48" t="n">
        <x:v>489.27</x:v>
      </x:c>
      <x:c r="G614" s="48" t="n">
        <x:v>0</x:v>
      </x:c>
      <x:c r="H614" s="48" t="n">
        <x:v>489.27</x:v>
      </x:c>
      <x:c r="I614" s="48" t="n">
        <x:v>0</x:v>
      </x:c>
      <x:c r="J614" s="48" t="n">
        <x:v>800</x:v>
      </x:c>
      <x:c r="K614" s="48" t="n">
        <x:v>0</x:v>
      </x:c>
      <x:c r="L614" s="48" t="n">
        <x:v>800</x:v>
      </x:c>
      <x:c r="M614" s="48" t="n">
        <x:v>0</x:v>
      </x:c>
      <x:c r="N614" s="48" t="n">
        <x:v>0.76</x:v>
      </x:c>
      <x:c r="O614" s="48" t="n">
        <x:v>0.97</x:v>
      </x:c>
      <x:c r="P614" s="48" t="n">
        <x:v>0.74</x:v>
      </x:c>
      <x:c r="Q614" s="48" t="n">
        <x:v>0.99</x:v>
      </x:c>
      <x:c r="R614" s="31" t="str">
        <x:v>ok</x:v>
      </x:c>
      <x:c r="S614" s="51" t="n">
        <x:v>0.9998301863670349</x:v>
      </x:c>
      <x:c r="T614" s="31" t="str">
        <x:v>https://mp.weixin.qq.com/s?__biz=MzUxOTMxNjk0OQ==&amp;mid=2247508423&amp;idx=1&amp;sn=d436a509a207125fb3fcd974e4c70723&amp;chksm=f9f9957dce8e1c6bcf8f7f6d3985f4f43e44c6f12c6bfb60a50f9be9177eae078e8a035a83c1#rd</x:v>
      </x:c>
    </x:row>
    <x:row r="615">
      <x:c r="A615" s="36" t="d">
        <x:v>2026-09-06T00:00:00.000Z</x:v>
      </x:c>
      <x:c r="B615" s="48" t="n">
        <x:v>244.52</x:v>
      </x:c>
      <x:c r="C615" s="48" t="n">
        <x:v>63.41</x:v>
      </x:c>
      <x:c r="D615" s="48" t="n">
        <x:v>374.56</x:v>
      </x:c>
      <x:c r="E615" s="48" t="n">
        <x:v>193.4</x:v>
      </x:c>
      <x:c r="F615" s="48" t="n">
        <x:v>439.64</x:v>
      </x:c>
      <x:c r="G615" s="48" t="n">
        <x:v>0</x:v>
      </x:c>
      <x:c r="H615" s="48" t="n">
        <x:v>439.64</x:v>
      </x:c>
      <x:c r="I615" s="48" t="n">
        <x:v>0</x:v>
      </x:c>
      <x:c r="J615" s="48" t="n">
        <x:v>1000</x:v>
      </x:c>
      <x:c r="K615" s="48" t="n">
        <x:v>0</x:v>
      </x:c>
      <x:c r="L615" s="48" t="n">
        <x:v>1000</x:v>
      </x:c>
      <x:c r="M615" s="48" t="n">
        <x:v>0</x:v>
      </x:c>
      <x:c r="N615" s="48" t="n">
        <x:v>0.98</x:v>
      </x:c>
      <x:c r="O615" s="48" t="n">
        <x:v>0.81</x:v>
      </x:c>
      <x:c r="P615" s="48" t="n">
        <x:v>0.87</x:v>
      </x:c>
      <x:c r="Q615" s="48" t="n">
        <x:v>0.83</x:v>
      </x:c>
      <x:c r="R615" s="31" t="str">
        <x:v>ok</x:v>
      </x:c>
      <x:c r="S615" s="51" t="n">
        <x:v>0.9999852180480957</x:v>
      </x:c>
      <x:c r="T615" s="31" t="str">
        <x:v>https://mp.weixin.qq.com/s?__biz=MzUxOTMxNjk0OQ==&amp;mid=2247508427&amp;idx=1&amp;sn=1cc73ea62eb437b693e221a72d94f75e&amp;chksm=f9f99571ce8e1c6703403a1a687b5d0454d87ec73d28f4a785f45e89670010e7e7f6c5de6b6e#rd</x:v>
      </x:c>
    </x:row>
    <x:row r="616">
      <x:c r="A616" s="36" t="d">
        <x:v>2026-09-07T00:00:00.000Z</x:v>
      </x:c>
      <x:c r="B616" s="48" t="n">
        <x:v>346.91</x:v>
      </x:c>
      <x:c r="C616" s="48" t="n">
        <x:v>318.24</x:v>
      </x:c>
      <x:c r="D616" s="48" t="n">
        <x:v>516.22</x:v>
      </x:c>
      <x:c r="E616" s="48" t="n">
        <x:v>630.34</x:v>
      </x:c>
      <x:c r="F616" s="48" t="n">
        <x:v>1000</x:v>
      </x:c>
      <x:c r="G616" s="48" t="n">
        <x:v>0</x:v>
      </x:c>
      <x:c r="H616" s="48" t="n">
        <x:v>1000</x:v>
      </x:c>
      <x:c r="I616" s="48" t="n">
        <x:v>0</x:v>
      </x:c>
      <x:c r="J616" s="48" t="n">
        <x:v>1000</x:v>
      </x:c>
      <x:c r="K616" s="48" t="n">
        <x:v>0</x:v>
      </x:c>
      <x:c r="L616" s="48" t="n">
        <x:v>1000</x:v>
      </x:c>
      <x:c r="M616" s="48" t="n">
        <x:v>0</x:v>
      </x:c>
      <x:c r="N616" s="48" t="n">
        <x:v>0.51</x:v>
      </x:c>
      <x:c r="O616" s="48" t="n">
        <x:v>0.41</x:v>
      </x:c>
      <x:c r="P616" s="48" t="n">
        <x:v>0.39</x:v>
      </x:c>
      <x:c r="Q616" s="48" t="n">
        <x:v>0.32</x:v>
      </x:c>
      <x:c r="R616" s="31" t="str">
        <x:v>ok</x:v>
      </x:c>
      <x:c r="S616" s="51" t="n">
        <x:v>0.9560198187828064</x:v>
      </x:c>
      <x:c r="T616" s="31" t="str">
        <x:v>https://mp.weixin.qq.com/s?__biz=MzUxOTMxNjk0OQ==&amp;mid=2247508437&amp;idx=1&amp;sn=de4d05036e18fd3c0f081fc8a0dc8c60&amp;chksm=f9f9956fce8e1c79f975b2868336b9f155838e2dab5ab70661b9b2d3305aa6a1769f7d5b5cb1#rd</x:v>
      </x:c>
    </x:row>
    <x:row r="617">
      <x:c r="A617" s="36" t="d">
        <x:v>2026-09-08T00:00:00.000Z</x:v>
      </x:c>
      <x:c r="B617" s="48" t="n">
        <x:v>378.44</x:v>
      </x:c>
      <x:c r="C617" s="48" t="n">
        <x:v>433.83</x:v>
      </x:c>
      <x:c r="D617" s="48" t="n">
        <x:v>390.15</x:v>
      </x:c>
      <x:c r="E617" s="48" t="n">
        <x:v>464.54</x:v>
      </x:c>
      <x:c r="F617" s="48" t="n">
        <x:v>1000</x:v>
      </x:c>
      <x:c r="G617" s="48" t="n">
        <x:v>0</x:v>
      </x:c>
      <x:c r="H617" s="48" t="n">
        <x:v>1000</x:v>
      </x:c>
      <x:c r="I617" s="48" t="n">
        <x:v>0</x:v>
      </x:c>
      <x:c r="J617" s="48" t="n">
        <x:v>1000</x:v>
      </x:c>
      <x:c r="K617" s="48" t="n">
        <x:v>0</x:v>
      </x:c>
      <x:c r="L617" s="48" t="n">
        <x:v>1000</x:v>
      </x:c>
      <x:c r="M617" s="48" t="n">
        <x:v>0</x:v>
      </x:c>
      <x:c r="N617" s="48" t="n">
        <x:v>0.71</x:v>
      </x:c>
      <x:c r="O617" s="48" t="n">
        <x:v>0.3</x:v>
      </x:c>
      <x:c r="P617" s="48" t="n">
        <x:v>0.67</x:v>
      </x:c>
      <x:c r="Q617" s="48" t="n">
        <x:v>0.28</x:v>
      </x:c>
      <x:c r="R617" s="31" t="str">
        <x:v>ok</x:v>
      </x:c>
      <x:c r="S617" s="51" t="n">
        <x:v>0.9999494552612305</x:v>
      </x:c>
      <x:c r="T617" s="31" t="str">
        <x:v>https://mp.weixin.qq.com/s?__biz=MzUxOTMxNjk0OQ==&amp;mid=2247508460&amp;idx=1&amp;sn=7c9e1c420a4a2a83c323087f4178db88&amp;chksm=f9f99556ce8e1c40cf57610cb6b1694207f8e02e6a35ebd0bbe87b084dcac5229f60cf91d0fa#rd</x:v>
      </x:c>
    </x:row>
    <x:row r="618">
      <x:c r="A618" s="36" t="d">
        <x:v>2026-09-09T00:00:00.000Z</x:v>
      </x:c>
      <x:c r="B618" s="48" t="n">
        <x:v>346.14</x:v>
      </x:c>
      <x:c r="C618" s="48" t="n">
        <x:v>341.2</x:v>
      </x:c>
      <x:c r="D618" s="48" t="n">
        <x:v>364.27</x:v>
      </x:c>
      <x:c r="E618" s="48" t="n">
        <x:v>345.71</x:v>
      </x:c>
      <x:c r="F618" s="48" t="n">
        <x:v>373</x:v>
      </x:c>
      <x:c r="G618" s="48" t="n">
        <x:v>0</x:v>
      </x:c>
      <x:c r="H618" s="48" t="n">
        <x:v>373</x:v>
      </x:c>
      <x:c r="I618" s="48" t="n">
        <x:v>0</x:v>
      </x:c>
      <x:c r="J618" s="48" t="n">
        <x:v>433</x:v>
      </x:c>
      <x:c r="K618" s="48" t="n">
        <x:v>0</x:v>
      </x:c>
      <x:c r="L618" s="48" t="n">
        <x:v>433</x:v>
      </x:c>
      <x:c r="M618" s="48" t="n">
        <x:v>0</x:v>
      </x:c>
      <x:c r="N618" s="48" t="n">
        <x:v>0.29</x:v>
      </x:c>
      <x:c r="O618" s="48" t="n">
        <x:v>0.33</x:v>
      </x:c>
      <x:c r="P618" s="48" t="n">
        <x:v>0.25</x:v>
      </x:c>
      <x:c r="Q618" s="48" t="n">
        <x:v>0.33</x:v>
      </x:c>
      <x:c r="R618" s="31" t="str">
        <x:v>ok</x:v>
      </x:c>
      <x:c r="S618" s="51" t="n">
        <x:v>0.9999926090240479</x:v>
      </x:c>
      <x:c r="T618" s="31" t="str">
        <x:v>https://mp.weixin.qq.com/s?__biz=MzUxOTMxNjk0OQ==&amp;mid=2247508465&amp;idx=1&amp;sn=fc8a2eda66cd7e415ebbf694bb67842c&amp;chksm=f9f9954bce8e1c5d97d4909f186e81a1788702e5bb9b884e95449c5b569c3e6815fb04ad4b61#rd</x:v>
      </x:c>
    </x:row>
    <x:row r="619">
      <x:c r="A619" s="36" t="d">
        <x:v>2026-09-10T00:00:00.000Z</x:v>
      </x:c>
      <x:c r="B619" s="48" t="n">
        <x:v>329.38</x:v>
      </x:c>
      <x:c r="C619" s="48" t="n">
        <x:v>186.41</x:v>
      </x:c>
      <x:c r="D619" s="48" t="n">
        <x:v>282.72</x:v>
      </x:c>
      <x:c r="E619" s="48" t="n">
        <x:v>96.21</x:v>
      </x:c>
      <x:c r="F619" s="48" t="n">
        <x:v>397</x:v>
      </x:c>
      <x:c r="G619" s="48" t="n">
        <x:v>0</x:v>
      </x:c>
      <x:c r="H619" s="48" t="n">
        <x:v>397</x:v>
      </x:c>
      <x:c r="I619" s="48" t="n">
        <x:v>0</x:v>
      </x:c>
      <x:c r="J619" s="48" t="n">
        <x:v>474.26</x:v>
      </x:c>
      <x:c r="K619" s="48" t="n">
        <x:v>0</x:v>
      </x:c>
      <x:c r="L619" s="48" t="n">
        <x:v>474.26</x:v>
      </x:c>
      <x:c r="M619" s="48" t="n">
        <x:v>0</x:v>
      </x:c>
      <x:c r="N619" s="48" t="n">
        <x:v>0.13</x:v>
      </x:c>
      <x:c r="O619" s="48" t="n">
        <x:v>0.73</x:v>
      </x:c>
      <x:c r="P619" s="48" t="n">
        <x:v>0.14</x:v>
      </x:c>
      <x:c r="Q619" s="48" t="n">
        <x:v>0.76</x:v>
      </x:c>
      <x:c r="R619" s="31" t="str">
        <x:v>ok</x:v>
      </x:c>
      <x:c r="S619" s="51" t="n">
        <x:v>0.9999948740005493</x:v>
      </x:c>
      <x:c r="T619" s="31" t="str">
        <x:v>https://mp.weixin.qq.com/s?__biz=MzUxOTMxNjk0OQ==&amp;mid=2247508469&amp;idx=1&amp;sn=ecde18f380337957231fc52ab3ab7c38&amp;chksm=f9f9954fce8e1c5958536bd353d889408fdbf36543987230ecabd2fb9672b883e8cffd8d6700#rd</x:v>
      </x:c>
    </x:row>
    <x:row r="620">
      <x:c r="A620" s="36" t="d">
        <x:v>2026-09-11T00:00:00.000Z</x:v>
      </x:c>
      <x:c r="B620" s="48" t="n">
        <x:v>278.47</x:v>
      </x:c>
      <x:c r="C620" s="48" t="n">
        <x:v>81.09</x:v>
      </x:c>
      <x:c r="D620" s="48" t="n">
        <x:v>276.12</x:v>
      </x:c>
      <x:c r="E620" s="48" t="n">
        <x:v>117.59</x:v>
      </x:c>
      <x:c r="F620" s="48" t="n">
        <x:v>374</x:v>
      </x:c>
      <x:c r="G620" s="48" t="n">
        <x:v>0</x:v>
      </x:c>
      <x:c r="H620" s="48" t="n">
        <x:v>374</x:v>
      </x:c>
      <x:c r="I620" s="48" t="n">
        <x:v>0</x:v>
      </x:c>
      <x:c r="J620" s="48" t="n">
        <x:v>496.05</x:v>
      </x:c>
      <x:c r="K620" s="48" t="n">
        <x:v>0</x:v>
      </x:c>
      <x:c r="L620" s="48" t="n">
        <x:v>496.05</x:v>
      </x:c>
      <x:c r="M620" s="48" t="n">
        <x:v>0</x:v>
      </x:c>
      <x:c r="N620" s="48" t="n">
        <x:v>0.32</x:v>
      </x:c>
      <x:c r="O620" s="48" t="n">
        <x:v>0.78</x:v>
      </x:c>
      <x:c r="P620" s="48" t="n">
        <x:v>0.36</x:v>
      </x:c>
      <x:c r="Q620" s="48" t="n">
        <x:v>0.81</x:v>
      </x:c>
      <x:c r="R620" s="31" t="str">
        <x:v>ok</x:v>
      </x:c>
      <x:c r="S620" s="51" t="n">
        <x:v>0.9999961256980896</x:v>
      </x:c>
      <x:c r="T620" s="31" t="str">
        <x:v>https://mp.weixin.qq.com/s?__biz=MzUxOTMxNjk0OQ==&amp;mid=2247508491&amp;idx=1&amp;sn=42d8d622000824f517c174e062b9d8f4&amp;chksm=f9f996b1ce8e1fa724590ee7407a2ee60933dfa691c4ce7edcda7542ec92868221a178b144cf#rd</x:v>
      </x:c>
    </x:row>
    <x:row r="621">
      <x:c r="A621" s="36" t="d">
        <x:v>2026-09-12T00:00:00.000Z</x:v>
      </x:c>
      <x:c r="B621" s="48" t="n">
        <x:v>313.98</x:v>
      </x:c>
      <x:c r="C621" s="48" t="n">
        <x:v>76.48</x:v>
      </x:c>
      <x:c r="D621" s="48" t="n">
        <x:v>316.87</x:v>
      </x:c>
      <x:c r="E621" s="48" t="n">
        <x:v>75.48</x:v>
      </x:c>
      <x:c r="F621" s="48" t="n">
        <x:v>496.76</x:v>
      </x:c>
      <x:c r="G621" s="48" t="n">
        <x:v>0</x:v>
      </x:c>
      <x:c r="H621" s="48" t="n">
        <x:v>496.76</x:v>
      </x:c>
      <x:c r="I621" s="48" t="n">
        <x:v>0</x:v>
      </x:c>
      <x:c r="J621" s="48" t="n">
        <x:v>1000</x:v>
      </x:c>
      <x:c r="K621" s="48" t="n">
        <x:v>0</x:v>
      </x:c>
      <x:c r="L621" s="48" t="n">
        <x:v>1000</x:v>
      </x:c>
      <x:c r="M621" s="48" t="n">
        <x:v>0</x:v>
      </x:c>
      <x:c r="N621" s="48" t="n">
        <x:v>0.26</x:v>
      </x:c>
      <x:c r="O621" s="48" t="n">
        <x:v>0.75</x:v>
      </x:c>
      <x:c r="P621" s="48" t="n">
        <x:v>0.3</x:v>
      </x:c>
      <x:c r="Q621" s="48" t="n">
        <x:v>0.79</x:v>
      </x:c>
      <x:c r="R621" s="31" t="str">
        <x:v>ok</x:v>
      </x:c>
      <x:c r="S621" s="51" t="n">
        <x:v>0.9999575614929199</x:v>
      </x:c>
      <x:c r="T621" s="31" t="str">
        <x:v>https://mp.weixin.qq.com/s?__biz=MzUxOTMxNjk0OQ==&amp;mid=2247508494&amp;idx=1&amp;sn=9821bb97bc7cf5d01b31c20d5301e412&amp;chksm=f9f996b4ce8e1fa2c556602b35f4b0ed3350ed7b9390950244a979ec96e48b581d64ec155b99#rd</x:v>
      </x:c>
    </x:row>
    <x:row r="622">
      <x:c r="A622" s="36" t="d">
        <x:v>2026-09-13T00:00:00.000Z</x:v>
      </x:c>
      <x:c r="B622" s="48" t="n">
        <x:v>331.84</x:v>
      </x:c>
      <x:c r="C622" s="48" t="n">
        <x:v>49.52</x:v>
      </x:c>
      <x:c r="D622" s="48" t="n">
        <x:v>427.53</x:v>
      </x:c>
      <x:c r="E622" s="48" t="n">
        <x:v>64.31</x:v>
      </x:c>
      <x:c r="F622" s="48" t="n">
        <x:v>1000</x:v>
      </x:c>
      <x:c r="G622" s="48" t="n">
        <x:v>0</x:v>
      </x:c>
      <x:c r="H622" s="48" t="n">
        <x:v>1000</x:v>
      </x:c>
      <x:c r="I622" s="48" t="n">
        <x:v>0</x:v>
      </x:c>
      <x:c r="J622" s="48" t="n">
        <x:v>1000</x:v>
      </x:c>
      <x:c r="K622" s="48" t="n">
        <x:v>0</x:v>
      </x:c>
      <x:c r="L622" s="48" t="n">
        <x:v>1000</x:v>
      </x:c>
      <x:c r="M622" s="48" t="n">
        <x:v>0</x:v>
      </x:c>
      <x:c r="N622" s="48" t="n">
        <x:v>0.2</x:v>
      </x:c>
      <x:c r="O622" s="48" t="n">
        <x:v>0.77</x:v>
      </x:c>
      <x:c r="P622" s="48" t="n">
        <x:v>0.17</x:v>
      </x:c>
      <x:c r="Q622" s="48" t="n">
        <x:v>0.83</x:v>
      </x:c>
      <x:c r="R622" s="31" t="str">
        <x:v>ok</x:v>
      </x:c>
      <x:c r="S622" s="51" t="n">
        <x:v>0.9995966553688049</x:v>
      </x:c>
      <x:c r="T622" s="31" t="str">
        <x:v>https://mp.weixin.qq.com/s?__biz=MzUxOTMxNjk0OQ==&amp;mid=2247508498&amp;idx=1&amp;sn=91bae6c83fa8488d606a510c784415d0&amp;chksm=f9f996a8ce8e1fbef8caf421bd2bf68f42da1fca5afdd39714f8f11b1ab24ffc1e196148d625#rd</x:v>
      </x:c>
    </x:row>
    <x:row r="623">
      <x:c r="A623" s="36" t="d">
        <x:v>2026-09-14T00:00:00.000Z</x:v>
      </x:c>
      <x:c r="B623" s="48" t="n">
        <x:v>291.15</x:v>
      </x:c>
      <x:c r="C623" s="48" t="n">
        <x:v>51.53</x:v>
      </x:c>
      <x:c r="D623" s="48" t="n">
        <x:v>324.87</x:v>
      </x:c>
      <x:c r="E623" s="48" t="n">
        <x:v>62.95</x:v>
      </x:c>
      <x:c r="F623" s="48" t="n">
        <x:v>379.21</x:v>
      </x:c>
      <x:c r="G623" s="48" t="n">
        <x:v>0</x:v>
      </x:c>
      <x:c r="H623" s="48" t="n">
        <x:v>379.21</x:v>
      </x:c>
      <x:c r="I623" s="48" t="n">
        <x:v>0</x:v>
      </x:c>
      <x:c r="J623" s="48" t="n">
        <x:v>1000</x:v>
      </x:c>
      <x:c r="K623" s="48" t="n">
        <x:v>0</x:v>
      </x:c>
      <x:c r="L623" s="48" t="n">
        <x:v>1000</x:v>
      </x:c>
      <x:c r="M623" s="48" t="n">
        <x:v>0</x:v>
      </x:c>
      <x:c r="N623" s="48" t="n">
        <x:v>0.42</x:v>
      </x:c>
      <x:c r="O623" s="48" t="n">
        <x:v>0.79</x:v>
      </x:c>
      <x:c r="P623" s="48" t="n">
        <x:v>0.5</x:v>
      </x:c>
      <x:c r="Q623" s="48" t="n">
        <x:v>0.92</x:v>
      </x:c>
      <x:c r="R623" s="31" t="str">
        <x:v>ok</x:v>
      </x:c>
      <x:c r="S623" s="51" t="n">
        <x:v>0.9999752044677734</x:v>
      </x:c>
      <x:c r="T623" s="31" t="str">
        <x:v>https://mp.weixin.qq.com/s?__biz=MzUxOTMxNjk0OQ==&amp;mid=2247508502&amp;idx=1&amp;sn=5aaf0b66b589196ff11c74f956aac51e&amp;chksm=f9f996acce8e1fba55b05c786454ae3149bef1b971965a63214de2782302c24f0091f9ba9f6d#rd</x:v>
      </x:c>
    </x:row>
    <x:row r="624">
      <x:c r="A624" s="36" t="d">
        <x:v>2026-09-15T00:00:00.000Z</x:v>
      </x:c>
      <x:c r="B624" s="48" t="n">
        <x:v>273.49</x:v>
      </x:c>
      <x:c r="C624" s="48" t="n">
        <x:v>48.76</x:v>
      </x:c>
      <x:c r="D624" s="48" t="n">
        <x:v>281.18</x:v>
      </x:c>
      <x:c r="E624" s="48" t="n">
        <x:v>74.44</x:v>
      </x:c>
      <x:c r="F624" s="48" t="n">
        <x:v>421</x:v>
      </x:c>
      <x:c r="G624" s="48" t="n">
        <x:v>0</x:v>
      </x:c>
      <x:c r="H624" s="48" t="n">
        <x:v>421</x:v>
      </x:c>
      <x:c r="I624" s="48" t="n">
        <x:v>0</x:v>
      </x:c>
      <x:c r="J624" s="48" t="n">
        <x:v>700</x:v>
      </x:c>
      <x:c r="K624" s="48" t="n">
        <x:v>0</x:v>
      </x:c>
      <x:c r="L624" s="48" t="n">
        <x:v>700</x:v>
      </x:c>
      <x:c r="M624" s="48" t="n">
        <x:v>0</x:v>
      </x:c>
      <x:c r="N624" s="48" t="n">
        <x:v>0.63</x:v>
      </x:c>
      <x:c r="O624" s="48" t="n">
        <x:v>0.75</x:v>
      </x:c>
      <x:c r="P624" s="48" t="n">
        <x:v>0.68</x:v>
      </x:c>
      <x:c r="Q624" s="48" t="n">
        <x:v>0.88</x:v>
      </x:c>
      <x:c r="R624" s="31" t="str">
        <x:v>ok</x:v>
      </x:c>
      <x:c r="S624" s="51" t="n">
        <x:v>0.9999956488609314</x:v>
      </x:c>
      <x:c r="T624" s="31" t="str">
        <x:v>https://mp.weixin.qq.com/s?__biz=MzUxOTMxNjk0OQ==&amp;mid=2247508506&amp;idx=1&amp;sn=7dda894f3f9da8d91971f23e82380324&amp;chksm=f9f996a0ce8e1fb6bf861f3065f332b1789a7a80b17c6fd891c09e428fa19acde7d6f554b950#rd</x:v>
      </x:c>
    </x:row>
    <x:row r="625">
      <x:c r="A625" s="36" t="d">
        <x:v>2026-09-16T00:00:00.000Z</x:v>
      </x:c>
      <x:c r="B625" s="48" t="n">
        <x:v>330.8</x:v>
      </x:c>
      <x:c r="C625" s="48" t="n">
        <x:v>155.73</x:v>
      </x:c>
      <x:c r="D625" s="48" t="n">
        <x:v>324.24</x:v>
      </x:c>
      <x:c r="E625" s="48" t="n">
        <x:v>183.59</x:v>
      </x:c>
      <x:c r="F625" s="48" t="n">
        <x:v>584</x:v>
      </x:c>
      <x:c r="G625" s="48" t="n">
        <x:v>0</x:v>
      </x:c>
      <x:c r="H625" s="48" t="n">
        <x:v>584</x:v>
      </x:c>
      <x:c r="I625" s="48" t="n">
        <x:v>0</x:v>
      </x:c>
      <x:c r="J625" s="48" t="n">
        <x:v>573.38</x:v>
      </x:c>
      <x:c r="K625" s="48" t="n">
        <x:v>0</x:v>
      </x:c>
      <x:c r="L625" s="48" t="n">
        <x:v>573.38</x:v>
      </x:c>
      <x:c r="M625" s="48" t="n">
        <x:v>0</x:v>
      </x:c>
      <x:c r="N625" s="48" t="n">
        <x:v>0.49</x:v>
      </x:c>
      <x:c r="O625" s="48" t="n">
        <x:v>0.56</x:v>
      </x:c>
      <x:c r="P625" s="48" t="n">
        <x:v>0.64</x:v>
      </x:c>
      <x:c r="Q625" s="48" t="n">
        <x:v>0.66</x:v>
      </x:c>
      <x:c r="R625" s="31" t="str">
        <x:v>ok</x:v>
      </x:c>
      <x:c r="S625" s="51" t="n">
        <x:v>0.9446524977684021</x:v>
      </x:c>
      <x:c r="T625" s="31" t="str">
        <x:v>https://mp.weixin.qq.com/s?__biz=MzUxOTMxNjk0OQ==&amp;mid=2247508513&amp;idx=1&amp;sn=dd3a4d17a389e93b8fd4d7fedf140242&amp;chksm=f9f9969bce8e1f8d3226bb764fe9ddb9a3ba895328306f97ce330cd47bbc503ba5317bf1c719#rd</x:v>
      </x:c>
    </x:row>
    <x:row r="626">
      <x:c r="A626" s="36" t="d">
        <x:v>2026-09-17T00:00:00.000Z</x:v>
      </x:c>
      <x:c r="B626" s="48" t="n">
        <x:v>291.96</x:v>
      </x:c>
      <x:c r="C626" s="48" t="n">
        <x:v>69.77</x:v>
      </x:c>
      <x:c r="D626" s="48" t="n">
        <x:v>290.92</x:v>
      </x:c>
      <x:c r="E626" s="48" t="n">
        <x:v>120.84</x:v>
      </x:c>
      <x:c r="F626" s="48" t="n">
        <x:v>374</x:v>
      </x:c>
      <x:c r="G626" s="48" t="n">
        <x:v>0</x:v>
      </x:c>
      <x:c r="H626" s="48" t="n">
        <x:v>374</x:v>
      </x:c>
      <x:c r="I626" s="48" t="n">
        <x:v>0</x:v>
      </x:c>
      <x:c r="J626" s="48" t="n">
        <x:v>450</x:v>
      </x:c>
      <x:c r="K626" s="48" t="n">
        <x:v>0</x:v>
      </x:c>
      <x:c r="L626" s="48" t="n">
        <x:v>450</x:v>
      </x:c>
      <x:c r="M626" s="48" t="n">
        <x:v>0</x:v>
      </x:c>
      <x:c r="N626" s="48" t="n">
        <x:v>0.63</x:v>
      </x:c>
      <x:c r="O626" s="48" t="n">
        <x:v>0.82</x:v>
      </x:c>
      <x:c r="P626" s="48" t="n">
        <x:v>0.67</x:v>
      </x:c>
      <x:c r="Q626" s="48" t="n">
        <x:v>0.84</x:v>
      </x:c>
      <x:c r="R626" s="31" t="str">
        <x:v>ok</x:v>
      </x:c>
      <x:c r="S626" s="51" t="n">
        <x:v>0.9995577335357666</x:v>
      </x:c>
      <x:c r="T626" s="31" t="str">
        <x:v>https://mp.weixin.qq.com/s?__biz=MzUxOTMxNjk0OQ==&amp;mid=2247508517&amp;idx=1&amp;sn=a26d3b13f8f6e975f2066f2c85b97189&amp;chksm=f9f9969fce8e1f89dcf965c7a47f731e82a91e1349360fb55c9df9ea95bcd785afb8e1e4deeb#rd</x:v>
      </x:c>
    </x:row>
    <x:row r="627">
      <x:c r="A627" s="36" t="d">
        <x:v>2026-09-18T00:00:00.000Z</x:v>
      </x:c>
      <x:c r="B627" s="48" t="n">
        <x:v>280.85</x:v>
      </x:c>
      <x:c r="C627" s="48" t="n">
        <x:v>170.21</x:v>
      </x:c>
      <x:c r="D627" s="48" t="n">
        <x:v>290.57</x:v>
      </x:c>
      <x:c r="E627" s="48" t="n">
        <x:v>206.21</x:v>
      </x:c>
      <x:c r="F627" s="48" t="n">
        <x:v>347</x:v>
      </x:c>
      <x:c r="G627" s="48" t="n">
        <x:v>0</x:v>
      </x:c>
      <x:c r="H627" s="48" t="n">
        <x:v>347</x:v>
      </x:c>
      <x:c r="I627" s="48" t="n">
        <x:v>0</x:v>
      </x:c>
      <x:c r="J627" s="48" t="n">
        <x:v>345</x:v>
      </x:c>
      <x:c r="K627" s="48" t="n">
        <x:v>0</x:v>
      </x:c>
      <x:c r="L627" s="48" t="n">
        <x:v>345</x:v>
      </x:c>
      <x:c r="M627" s="48" t="n">
        <x:v>0</x:v>
      </x:c>
      <x:c r="N627" s="48" t="n">
        <x:v>0.94</x:v>
      </x:c>
      <x:c r="O627" s="48" t="n">
        <x:v>0.66</x:v>
      </x:c>
      <x:c r="P627" s="48" t="n">
        <x:v>0.96</x:v>
      </x:c>
      <x:c r="Q627" s="48" t="n">
        <x:v>0.64</x:v>
      </x:c>
      <x:c r="R627" s="31" t="str">
        <x:v>ok</x:v>
      </x:c>
      <x:c r="S627" s="51" t="n">
        <x:v>0.9995341300964355</x:v>
      </x:c>
      <x:c r="T627" s="31" t="str">
        <x:v>https://mp.weixin.qq.com/s?__biz=MzUxOTMxNjk0OQ==&amp;mid=2247508529&amp;idx=1&amp;sn=10f6acc30d7b6f8ef12328fa1970b672&amp;chksm=f9f9968bce8e1f9da0e503178c6fe2af0072c2f2f3dca95c1731663aec88a0f3c00dc1a58286#rd</x:v>
      </x:c>
    </x:row>
    <x:row r="628">
      <x:c r="A628" s="36" t="d">
        <x:v>2026-09-19T00:00:00.000Z</x:v>
      </x:c>
      <x:c r="B628" s="48" t="n">
        <x:v>256.17</x:v>
      </x:c>
      <x:c r="C628" s="48" t="n">
        <x:v>93.34</x:v>
      </x:c>
      <x:c r="D628" s="48" t="n">
        <x:v>281.73</x:v>
      </x:c>
      <x:c r="E628" s="48" t="n">
        <x:v>208</x:v>
      </x:c>
      <x:c r="F628" s="48" t="n">
        <x:v>370</x:v>
      </x:c>
      <x:c r="G628" s="48" t="n">
        <x:v>0</x:v>
      </x:c>
      <x:c r="H628" s="48" t="n">
        <x:v>370</x:v>
      </x:c>
      <x:c r="I628" s="48" t="n">
        <x:v>0</x:v>
      </x:c>
      <x:c r="J628" s="48" t="n">
        <x:v>1000</x:v>
      </x:c>
      <x:c r="K628" s="48" t="n">
        <x:v>0</x:v>
      </x:c>
      <x:c r="L628" s="48" t="n">
        <x:v>1000</x:v>
      </x:c>
      <x:c r="M628" s="48" t="n">
        <x:v>0</x:v>
      </x:c>
      <x:c r="N628" s="48" t="n">
        <x:v>0.47</x:v>
      </x:c>
      <x:c r="O628" s="48" t="n">
        <x:v>0.57</x:v>
      </x:c>
      <x:c r="P628" s="48" t="n">
        <x:v>0.49</x:v>
      </x:c>
      <x:c r="Q628" s="48" t="n">
        <x:v>0.63</x:v>
      </x:c>
      <x:c r="R628" s="31" t="str">
        <x:v>ok</x:v>
      </x:c>
      <x:c r="S628" s="51" t="n">
        <x:v>0.9973399043083191</x:v>
      </x:c>
      <x:c r="T628" s="31" t="str">
        <x:v>https://mp.weixin.qq.com/s?__biz=MzUxOTMxNjk0OQ==&amp;mid=2247508530&amp;idx=1&amp;sn=3ddf38f023d6d282a487e3b1c5d3dd19&amp;chksm=f9f99688ce8e1f9e370856ce622526c424b249ff70867579c1a413aee624e1174e1c0942fd41#rd</x:v>
      </x:c>
    </x:row>
    <x:row r="629">
      <x:c r="A629" s="36" t="d">
        <x:v>2026-09-20T00:00:00.000Z</x:v>
      </x:c>
      <x:c r="B629" s="48" t="n">
        <x:v>385.15</x:v>
      </x:c>
      <x:c r="C629" s="48" t="n">
        <x:v>367.59</x:v>
      </x:c>
      <x:c r="D629" s="48" t="n">
        <x:v>375.28</x:v>
      </x:c>
      <x:c r="E629" s="48" t="n">
        <x:v>357.22</x:v>
      </x:c>
      <x:c r="F629" s="48" t="n">
        <x:v>600</x:v>
      </x:c>
      <x:c r="G629" s="48" t="n">
        <x:v>0</x:v>
      </x:c>
      <x:c r="H629" s="48" t="n">
        <x:v>600</x:v>
      </x:c>
      <x:c r="I629" s="48" t="n">
        <x:v>0</x:v>
      </x:c>
      <x:c r="J629" s="48" t="n">
        <x:v>593.01</x:v>
      </x:c>
      <x:c r="K629" s="48" t="n">
        <x:v>0</x:v>
      </x:c>
      <x:c r="L629" s="48" t="n">
        <x:v>593.01</x:v>
      </x:c>
      <x:c r="M629" s="48" t="n">
        <x:v>0</x:v>
      </x:c>
      <x:c r="N629" s="48" t="n">
        <x:v>0.16</x:v>
      </x:c>
      <x:c r="O629" s="48" t="n">
        <x:v>0.4</x:v>
      </x:c>
      <x:c r="P629" s="48" t="n">
        <x:v>0.23</x:v>
      </x:c>
      <x:c r="Q629" s="48" t="n">
        <x:v>0.44</x:v>
      </x:c>
      <x:c r="R629" s="31" t="str">
        <x:v>ok</x:v>
      </x:c>
      <x:c r="S629" s="51" t="n">
        <x:v>0.9397881031036377</x:v>
      </x:c>
      <x:c r="T629" s="31" t="str">
        <x:v>https://mp.weixin.qq.com/s?__biz=MzUxOTMxNjk0OQ==&amp;mid=2247508537&amp;idx=1&amp;sn=0e94b2d4c9b3e69ca0db081912c9897e&amp;chksm=f9f99683ce8e1f9545bfb3aefa44e9d6bbad34d92c43a4fa409faf7f2dc6a1cd2aca55f94526#rd</x:v>
      </x:c>
    </x:row>
    <x:row r="630">
      <x:c r="A630" s="36" t="d">
        <x:v>2026-09-21T00:00:00.000Z</x:v>
      </x:c>
      <x:c r="B630" s="48" t="n">
        <x:v>422.15</x:v>
      </x:c>
      <x:c r="C630" s="48" t="n">
        <x:v>107.64</x:v>
      </x:c>
      <x:c r="D630" s="48" t="n">
        <x:v>400.01</x:v>
      </x:c>
      <x:c r="E630" s="48" t="n">
        <x:v>173.51</x:v>
      </x:c>
      <x:c r="F630" s="48" t="n">
        <x:v>525</x:v>
      </x:c>
      <x:c r="G630" s="48" t="n">
        <x:v>0</x:v>
      </x:c>
      <x:c r="H630" s="48" t="n">
        <x:v>525</x:v>
      </x:c>
      <x:c r="I630" s="48" t="n">
        <x:v>0</x:v>
      </x:c>
      <x:c r="J630" s="48" t="n">
        <x:v>547.39</x:v>
      </x:c>
      <x:c r="K630" s="48" t="n">
        <x:v>0</x:v>
      </x:c>
      <x:c r="L630" s="48" t="n">
        <x:v>547.39</x:v>
      </x:c>
      <x:c r="M630" s="48" t="n">
        <x:v>0</x:v>
      </x:c>
      <x:c r="N630" s="48" t="n">
        <x:v>0.13</x:v>
      </x:c>
      <x:c r="O630" s="48" t="n">
        <x:v>0.77</x:v>
      </x:c>
      <x:c r="P630" s="48" t="n">
        <x:v>0.14</x:v>
      </x:c>
      <x:c r="Q630" s="48" t="n">
        <x:v>0.79</x:v>
      </x:c>
      <x:c r="R630" s="31" t="str">
        <x:v>ok</x:v>
      </x:c>
      <x:c r="S630" s="51" t="n">
        <x:v>0.9995810985565186</x:v>
      </x:c>
      <x:c r="T630" s="31" t="str">
        <x:v>https://mp.weixin.qq.com/s?__biz=MzUxOTMxNjk0OQ==&amp;mid=2247508541&amp;idx=1&amp;sn=48dfc452faccaa0fc16abfd7662919ad&amp;chksm=f9f99687ce8e1f9122b4323f93c753cd018d7b4719639f2208ced330de2156e3ec2ea0e071d8#rd</x:v>
      </x:c>
    </x:row>
    <x:row r="631">
      <x:c r="A631" s="36" t="d">
        <x:v>2026-09-22T00:00:00.000Z</x:v>
      </x:c>
      <x:c r="B631" s="48" t="n">
        <x:v>320.77</x:v>
      </x:c>
      <x:c r="C631" s="48" t="n">
        <x:v>61.9</x:v>
      </x:c>
      <x:c r="D631" s="48" t="n">
        <x:v>308.76</x:v>
      </x:c>
      <x:c r="E631" s="48" t="n">
        <x:v>76.89</x:v>
      </x:c>
      <x:c r="F631" s="48" t="n">
        <x:v>570</x:v>
      </x:c>
      <x:c r="G631" s="48" t="n">
        <x:v>0</x:v>
      </x:c>
      <x:c r="H631" s="48" t="n">
        <x:v>570</x:v>
      </x:c>
      <x:c r="I631" s="48" t="n">
        <x:v>0</x:v>
      </x:c>
      <x:c r="J631" s="48" t="n">
        <x:v>590</x:v>
      </x:c>
      <x:c r="K631" s="48" t="n">
        <x:v>0</x:v>
      </x:c>
      <x:c r="L631" s="48" t="n">
        <x:v>590</x:v>
      </x:c>
      <x:c r="M631" s="48" t="n">
        <x:v>0</x:v>
      </x:c>
      <x:c r="N631" s="48" t="n">
        <x:v>0.35</x:v>
      </x:c>
      <x:c r="O631" s="48" t="n">
        <x:v>0.74</x:v>
      </x:c>
      <x:c r="P631" s="48" t="n">
        <x:v>0.35</x:v>
      </x:c>
      <x:c r="Q631" s="48" t="n">
        <x:v>0.83</x:v>
      </x:c>
      <x:c r="R631" s="31" t="str">
        <x:v>ok</x:v>
      </x:c>
      <x:c r="S631" s="51" t="n">
        <x:v>0.9996320605278015</x:v>
      </x:c>
      <x:c r="T631" s="31" t="str">
        <x:v>https://mp.weixin.qq.com/s?__biz=MzUxOTMxNjk0OQ==&amp;mid=2247508550&amp;idx=1&amp;sn=556e90e414c6942bb93c64e67e1da2c1&amp;chksm=f9f996fcce8e1fea078d0e78ba27c09b876caad77a41daeb8eb189c0d6e30c1aefb9b3a1399b#rd</x:v>
      </x:c>
    </x:row>
    <x:row r="632">
      <x:c r="A632" s="36" t="d">
        <x:v>2026-09-23T00:00:00.000Z</x:v>
      </x:c>
      <x:c r="B632" s="48" t="n">
        <x:v>358.47</x:v>
      </x:c>
      <x:c r="C632" s="48" t="n">
        <x:v>199.52</x:v>
      </x:c>
      <x:c r="D632" s="48" t="n">
        <x:v>334.43</x:v>
      </x:c>
      <x:c r="E632" s="48" t="n">
        <x:v>152.66</x:v>
      </x:c>
      <x:c r="F632" s="48" t="n">
        <x:v>609</x:v>
      </x:c>
      <x:c r="G632" s="48" t="n">
        <x:v>0</x:v>
      </x:c>
      <x:c r="H632" s="48" t="n">
        <x:v>609</x:v>
      </x:c>
      <x:c r="I632" s="48" t="n">
        <x:v>0</x:v>
      </x:c>
      <x:c r="J632" s="48" t="n">
        <x:v>609</x:v>
      </x:c>
      <x:c r="K632" s="48" t="n">
        <x:v>0</x:v>
      </x:c>
      <x:c r="L632" s="48" t="n">
        <x:v>609</x:v>
      </x:c>
      <x:c r="M632" s="48" t="n">
        <x:v>0</x:v>
      </x:c>
      <x:c r="N632" s="48" t="n">
        <x:v>0.21</x:v>
      </x:c>
      <x:c r="O632" s="48" t="n">
        <x:v>0.64</x:v>
      </x:c>
      <x:c r="P632" s="48" t="n">
        <x:v>0.27</x:v>
      </x:c>
      <x:c r="Q632" s="48" t="n">
        <x:v>0.7</x:v>
      </x:c>
      <x:c r="R632" s="31" t="str">
        <x:v>ok</x:v>
      </x:c>
      <x:c r="S632" s="51" t="n">
        <x:v>0.9993939399719238</x:v>
      </x:c>
      <x:c r="T632" s="31" t="str">
        <x:v>https://mp.weixin.qq.com/s?__biz=MzUxOTMxNjk0OQ==&amp;mid=2247508554&amp;idx=1&amp;sn=68c4c71ff855a6e5404ed3a13ddf0c01&amp;chksm=f9f996f0ce8e1fe69d28b0c59d0fe979784ebbb62c0d036affa113d3e4267c8c18e955a42210#rd</x:v>
      </x:c>
    </x:row>
    <x:row r="633">
      <x:c r="A633" s="36" t="d">
        <x:v>2026-09-24T00:00:00.000Z</x:v>
      </x:c>
      <x:c r="B633" s="48" t="n">
        <x:v>380.48</x:v>
      </x:c>
      <x:c r="C633" s="48" t="n">
        <x:v>293.62</x:v>
      </x:c>
      <x:c r="D633" s="48" t="n">
        <x:v>380.87</x:v>
      </x:c>
      <x:c r="E633" s="48" t="n">
        <x:v>321.83</x:v>
      </x:c>
      <x:c r="F633" s="48" t="n">
        <x:v>715.72</x:v>
      </x:c>
      <x:c r="G633" s="48" t="n">
        <x:v>0</x:v>
      </x:c>
      <x:c r="H633" s="48" t="n">
        <x:v>715.72</x:v>
      </x:c>
      <x:c r="I633" s="48" t="n">
        <x:v>0</x:v>
      </x:c>
      <x:c r="J633" s="48" t="n">
        <x:v>546.01</x:v>
      </x:c>
      <x:c r="K633" s="48" t="n">
        <x:v>0</x:v>
      </x:c>
      <x:c r="L633" s="48" t="n">
        <x:v>546.01</x:v>
      </x:c>
      <x:c r="M633" s="48" t="n">
        <x:v>0</x:v>
      </x:c>
      <x:c r="N633" s="48" t="n">
        <x:v>0.22</x:v>
      </x:c>
      <x:c r="O633" s="48" t="n">
        <x:v>0.46</x:v>
      </x:c>
      <x:c r="P633" s="48" t="n">
        <x:v>0.22</x:v>
      </x:c>
      <x:c r="Q633" s="48" t="n">
        <x:v>0.5</x:v>
      </x:c>
      <x:c r="R633" s="31" t="str">
        <x:v>ok</x:v>
      </x:c>
      <x:c r="S633" s="51" t="n">
        <x:v>0.9993574619293213</x:v>
      </x:c>
      <x:c r="T633" s="31" t="str">
        <x:v>https://mp.weixin.qq.com/s?__biz=MzUxOTMxNjk0OQ==&amp;mid=2247508564&amp;idx=1&amp;sn=a548db97985ab197d06d8d824a8bbec6&amp;chksm=f9f996eece8e1ff8c96ad51699202a4c93e4a05a081afa950ca677c4309e20b3e8f566118421#rd</x:v>
      </x:c>
    </x:row>
    <x:row r="634">
      <x:c r="A634" s="36" t="d">
        <x:v>2026-09-25T00:00:00.000Z</x:v>
      </x:c>
      <x:c r="B634" s="48" t="n">
        <x:v>345.62</x:v>
      </x:c>
      <x:c r="C634" s="48" t="n">
        <x:v>205.05</x:v>
      </x:c>
      <x:c r="D634" s="48" t="n">
        <x:v>276.19</x:v>
      </x:c>
      <x:c r="E634" s="48" t="n">
        <x:v>179.73</x:v>
      </x:c>
      <x:c r="F634" s="48" t="n">
        <x:v>696.17</x:v>
      </x:c>
      <x:c r="G634" s="48" t="n">
        <x:v>0</x:v>
      </x:c>
      <x:c r="H634" s="48" t="n">
        <x:v>696.17</x:v>
      </x:c>
      <x:c r="I634" s="48" t="n">
        <x:v>0</x:v>
      </x:c>
      <x:c r="J634" s="48" t="n">
        <x:v>593.86</x:v>
      </x:c>
      <x:c r="K634" s="48" t="n">
        <x:v>0</x:v>
      </x:c>
      <x:c r="L634" s="48" t="n">
        <x:v>593.86</x:v>
      </x:c>
      <x:c r="M634" s="48" t="n">
        <x:v>0</x:v>
      </x:c>
      <x:c r="N634" s="48" t="n">
        <x:v>0.26</x:v>
      </x:c>
      <x:c r="O634" s="48" t="n">
        <x:v>0.58</x:v>
      </x:c>
      <x:c r="P634" s="48" t="n">
        <x:v>0.35</x:v>
      </x:c>
      <x:c r="Q634" s="48" t="n">
        <x:v>0.61</x:v>
      </x:c>
      <x:c r="R634" s="31" t="str">
        <x:v>ok</x:v>
      </x:c>
      <x:c r="S634" s="51" t="n">
        <x:v>0.9993166327476501</x:v>
      </x:c>
      <x:c r="T634" s="31" t="str">
        <x:v>https://mp.weixin.qq.com/s?__biz=MzUxOTMxNjk0OQ==&amp;mid=2247508566&amp;idx=1&amp;sn=7e063adcb368edb5181b478d811698cf&amp;chksm=f9f996ecce8e1ffa7c3d57537e347dece966fd825a5db3efa295ffa4989d51ac5af67c989776#rd</x:v>
      </x:c>
    </x:row>
    <x:row r="635">
      <x:c r="A635" s="36" t="d">
        <x:v>2026-09-26T00:00:00.000Z</x:v>
      </x:c>
      <x:c r="B635" s="48" t="n">
        <x:v>267.59</x:v>
      </x:c>
      <x:c r="C635" s="48" t="n">
        <x:v>56.84</x:v>
      </x:c>
      <x:c r="D635" s="48" t="n">
        <x:v>272.8</x:v>
      </x:c>
      <x:c r="E635" s="48" t="n">
        <x:v>94.67</x:v>
      </x:c>
      <x:c r="F635" s="48" t="n">
        <x:v>381</x:v>
      </x:c>
      <x:c r="G635" s="48" t="n">
        <x:v>0</x:v>
      </x:c>
      <x:c r="H635" s="48" t="n">
        <x:v>381</x:v>
      </x:c>
      <x:c r="I635" s="48" t="n">
        <x:v>0</x:v>
      </x:c>
      <x:c r="J635" s="48" t="n">
        <x:v>462.92</x:v>
      </x:c>
      <x:c r="K635" s="48" t="n">
        <x:v>0</x:v>
      </x:c>
      <x:c r="L635" s="48" t="n">
        <x:v>462.92</x:v>
      </x:c>
      <x:c r="M635" s="48" t="n">
        <x:v>0</x:v>
      </x:c>
      <x:c r="N635" s="48" t="n">
        <x:v>0.29</x:v>
      </x:c>
      <x:c r="O635" s="48" t="n">
        <x:v>0.68</x:v>
      </x:c>
      <x:c r="P635" s="48" t="n">
        <x:v>0.34</x:v>
      </x:c>
      <x:c r="Q635" s="48" t="n">
        <x:v>0.7</x:v>
      </x:c>
      <x:c r="R635" s="31" t="str">
        <x:v>ok</x:v>
      </x:c>
      <x:c r="S635" s="51" t="n">
        <x:v>0.9990860819816589</x:v>
      </x:c>
      <x:c r="T635" s="31" t="str">
        <x:v>https://mp.weixin.qq.com/s?__biz=MzUxOTMxNjk0OQ==&amp;mid=2247508569&amp;idx=1&amp;sn=2794c931a4264aa1dc6230a724fd5f72&amp;chksm=f9f996e3ce8e1ff5fafa8c5132ea715d2cda0b8e0fe438d6ec0e3df2602ec3b1e7456fbe9fe8#rd</x:v>
      </x:c>
    </x:row>
    <x:row r="636">
      <x:c r="A636" s="36" t="d">
        <x:v>2026-09-27T00:00:00.000Z</x:v>
      </x:c>
      <x:c r="B636" s="48" t="n">
        <x:v>331.07</x:v>
      </x:c>
      <x:c r="C636" s="48" t="n">
        <x:v>252.28</x:v>
      </x:c>
      <x:c r="D636" s="48" t="n">
        <x:v>352.92</x:v>
      </x:c>
      <x:c r="E636" s="48" t="n">
        <x:v>326.86</x:v>
      </x:c>
      <x:c r="F636" s="48" t="n">
        <x:v>709.99</x:v>
      </x:c>
      <x:c r="G636" s="48" t="n">
        <x:v>0</x:v>
      </x:c>
      <x:c r="H636" s="48" t="n">
        <x:v>709.99</x:v>
      </x:c>
      <x:c r="I636" s="48" t="n">
        <x:v>0</x:v>
      </x:c>
      <x:c r="J636" s="48" t="n">
        <x:v>607.92</x:v>
      </x:c>
      <x:c r="K636" s="48" t="n">
        <x:v>0</x:v>
      </x:c>
      <x:c r="L636" s="48" t="n">
        <x:v>607.92</x:v>
      </x:c>
      <x:c r="M636" s="48" t="n">
        <x:v>0</x:v>
      </x:c>
      <x:c r="N636" s="48" t="n">
        <x:v>0.19</x:v>
      </x:c>
      <x:c r="O636" s="48" t="n">
        <x:v>0.46</x:v>
      </x:c>
      <x:c r="P636" s="48" t="n">
        <x:v>0.2</x:v>
      </x:c>
      <x:c r="Q636" s="48" t="n">
        <x:v>0.47</x:v>
      </x:c>
      <x:c r="R636" s="31" t="str">
        <x:v>ok</x:v>
      </x:c>
      <x:c r="S636" s="51" t="n">
        <x:v>0.999091625213623</x:v>
      </x:c>
      <x:c r="T636" s="31" t="str">
        <x:v>https://mp.weixin.qq.com/s?__biz=MzUxOTMxNjk0OQ==&amp;mid=2247508576&amp;idx=1&amp;sn=048c3ef9426e2d3a2a06c80d4abb57fc&amp;chksm=f9f996dace8e1fcc7762d93d0af85cfea86cc5892af545160898c00fa2f9452cf4560146f800#rd</x:v>
      </x:c>
    </x:row>
    <x:row r="637">
      <x:c r="A637" s="36" t="d">
        <x:v>2026-09-28T00:00:00.000Z</x:v>
      </x:c>
      <x:c r="B637" s="48" t="n">
        <x:v>264.81</x:v>
      </x:c>
      <x:c r="C637" s="48" t="n">
        <x:v>301.75</x:v>
      </x:c>
      <x:c r="D637" s="48" t="n">
        <x:v>279.54</x:v>
      </x:c>
      <x:c r="E637" s="48" t="n">
        <x:v>247.78</x:v>
      </x:c>
      <x:c r="F637" s="48" t="n">
        <x:v>1000</x:v>
      </x:c>
      <x:c r="G637" s="48" t="n">
        <x:v>0</x:v>
      </x:c>
      <x:c r="H637" s="48" t="n">
        <x:v>1000</x:v>
      </x:c>
      <x:c r="I637" s="48" t="n">
        <x:v>0</x:v>
      </x:c>
      <x:c r="J637" s="48" t="n">
        <x:v>1000</x:v>
      </x:c>
      <x:c r="K637" s="48" t="n">
        <x:v>0</x:v>
      </x:c>
      <x:c r="L637" s="48" t="n">
        <x:v>1000</x:v>
      </x:c>
      <x:c r="M637" s="48" t="n">
        <x:v>0</x:v>
      </x:c>
      <x:c r="N637" s="48" t="n">
        <x:v>0.35</x:v>
      </x:c>
      <x:c r="O637" s="48" t="n">
        <x:v>0.37</x:v>
      </x:c>
      <x:c r="P637" s="48" t="n">
        <x:v>0.35</x:v>
      </x:c>
      <x:c r="Q637" s="48" t="n">
        <x:v>0.48</x:v>
      </x:c>
      <x:c r="R637" s="31" t="str">
        <x:v>ok</x:v>
      </x:c>
      <x:c r="S637" s="51" t="n">
        <x:v>0.9923677444458008</x:v>
      </x:c>
      <x:c r="T637" s="31" t="str">
        <x:v>https://mp.weixin.qq.com/s?__biz=MzUxOTMxNjk0OQ==&amp;mid=2247508599&amp;idx=1&amp;sn=5fd9e09076220f514bfc7bba1eac1d7f&amp;chksm=f9f996cdce8e1fdbaa1ea3873b83d70b0d116813b20810c007de8a735ef596d71f237797bb3a#rd</x:v>
      </x:c>
    </x:row>
    <x:row r="638">
      <x:c r="A638" s="36" t="d">
        <x:v>2026-09-29T00:00:00.000Z</x:v>
      </x:c>
      <x:c r="B638" s="48" t="n">
        <x:v>475.07</x:v>
      </x:c>
      <x:c r="C638" s="48" t="n">
        <x:v>87.74</x:v>
      </x:c>
      <x:c r="D638" s="48" t="n">
        <x:v>390.68</x:v>
      </x:c>
      <x:c r="E638" s="48" t="n">
        <x:v>128.54</x:v>
      </x:c>
      <x:c r="F638" s="48" t="n">
        <x:v>1000</x:v>
      </x:c>
      <x:c r="G638" s="48" t="n">
        <x:v>0</x:v>
      </x:c>
      <x:c r="H638" s="48" t="n">
        <x:v>1000</x:v>
      </x:c>
      <x:c r="I638" s="48" t="n">
        <x:v>0</x:v>
      </x:c>
      <x:c r="J638" s="48" t="n">
        <x:v>1000</x:v>
      </x:c>
      <x:c r="K638" s="48" t="n">
        <x:v>0</x:v>
      </x:c>
      <x:c r="L638" s="48" t="n">
        <x:v>1000</x:v>
      </x:c>
      <x:c r="M638" s="48" t="n">
        <x:v>0</x:v>
      </x:c>
      <x:c r="N638" s="48" t="n">
        <x:v>0.39</x:v>
      </x:c>
      <x:c r="O638" s="48" t="n">
        <x:v>0.77</x:v>
      </x:c>
      <x:c r="P638" s="48" t="n">
        <x:v>0.38</x:v>
      </x:c>
      <x:c r="Q638" s="48" t="n">
        <x:v>0.75</x:v>
      </x:c>
      <x:c r="R638" s="31" t="str">
        <x:v>ok</x:v>
      </x:c>
      <x:c r="S638" s="51" t="n">
        <x:v>0.9908274412155151</x:v>
      </x:c>
      <x:c r="T638" s="31" t="str">
        <x:v>https://mp.weixin.qq.com/s?__biz=MzUxOTMxNjk0OQ==&amp;mid=2247508603&amp;idx=1&amp;sn=75f6cd72edb46cc3b3e8923bb2ba56a7&amp;chksm=f9f996c1ce8e1fd705f8c8bb22ead6fb0cc605c3bd34e55205cf70509a57082e8710ec8481c3#rd</x:v>
      </x:c>
    </x:row>
    <x:row r="639">
      <x:c r="A639" s="36" t="d">
        <x:v>2026-09-30T00:00:00.000Z</x:v>
      </x:c>
      <x:c r="B639" s="48" t="n">
        <x:v>156.62</x:v>
      </x:c>
      <x:c r="C639" s="48" t="n">
        <x:v>170.43</x:v>
      </x:c>
      <x:c r="D639" s="48" t="n">
        <x:v>197.49</x:v>
      </x:c>
      <x:c r="E639" s="48" t="n">
        <x:v>305.43</x:v>
      </x:c>
      <x:c r="F639" s="48" t="n">
        <x:v>670.41</x:v>
      </x:c>
      <x:c r="G639" s="48" t="n">
        <x:v>0</x:v>
      </x:c>
      <x:c r="H639" s="48" t="n">
        <x:v>670.41</x:v>
      </x:c>
      <x:c r="I639" s="48" t="n">
        <x:v>0</x:v>
      </x:c>
      <x:c r="J639" s="48" t="n">
        <x:v>452.96</x:v>
      </x:c>
      <x:c r="K639" s="48" t="n">
        <x:v>0</x:v>
      </x:c>
      <x:c r="L639" s="48" t="n">
        <x:v>452.96</x:v>
      </x:c>
      <x:c r="M639" s="48" t="n">
        <x:v>0</x:v>
      </x:c>
      <x:c r="N639" s="48" t="n">
        <x:v>0.61</x:v>
      </x:c>
      <x:c r="O639" s="48" t="n">
        <x:v>0.51</x:v>
      </x:c>
      <x:c r="P639" s="48" t="n">
        <x:v>0.63</x:v>
      </x:c>
      <x:c r="Q639" s="48" t="n">
        <x:v>0.4</x:v>
      </x:c>
      <x:c r="R639" s="31" t="str">
        <x:v>ok</x:v>
      </x:c>
      <x:c r="S639" s="51" t="n">
        <x:v>0.9632353186607361</x:v>
      </x:c>
      <x:c r="T639" s="31" t="str">
        <x:v>https://mp.weixin.qq.com/s?__biz=MzUxOTMxNjk0OQ==&amp;mid=2247508613&amp;idx=1&amp;sn=4e0af98dd8e12817a99c5deca5ccd1f6&amp;chksm=f9f9963fce8e1f29c5c13fa7546b517fa8c0595885263a52f2fa9bb763ab3d5f545df75a24cd#rd</x:v>
      </x:c>
    </x:row>
    <x:row r="640">
      <x:c r="A640" s="36" t="d">
        <x:v>2026-10-01T00:00:00.000Z</x:v>
      </x:c>
      <x:c r="B640" s="48" t="n">
        <x:v>344.41</x:v>
      </x:c>
      <x:c r="C640" s="48" t="n">
        <x:v>52.22</x:v>
      </x:c>
      <x:c r="D640" s="48" t="n">
        <x:v>308.87</x:v>
      </x:c>
      <x:c r="E640" s="48" t="n">
        <x:v>40.2</x:v>
      </x:c>
      <x:c r="F640" s="48" t="n">
        <x:v>950</x:v>
      </x:c>
      <x:c r="G640" s="48" t="n">
        <x:v>0</x:v>
      </x:c>
      <x:c r="H640" s="48" t="n">
        <x:v>950</x:v>
      </x:c>
      <x:c r="I640" s="48" t="n">
        <x:v>0</x:v>
      </x:c>
      <x:c r="J640" s="48" t="n">
        <x:v>601</x:v>
      </x:c>
      <x:c r="K640" s="48" t="n">
        <x:v>0</x:v>
      </x:c>
      <x:c r="L640" s="48" t="n">
        <x:v>601</x:v>
      </x:c>
      <x:c r="M640" s="48" t="n">
        <x:v>0</x:v>
      </x:c>
      <x:c r="N640" s="48" t="n">
        <x:v>0.35</x:v>
      </x:c>
      <x:c r="O640" s="48" t="n">
        <x:v>0.66</x:v>
      </x:c>
      <x:c r="P640" s="48" t="n">
        <x:v>0.35</x:v>
      </x:c>
      <x:c r="Q640" s="48" t="n">
        <x:v>0.75</x:v>
      </x:c>
      <x:c r="R640" s="31" t="str">
        <x:v>ok</x:v>
      </x:c>
      <x:c r="S640" s="51" t="n">
        <x:v>0.9992335438728333</x:v>
      </x:c>
      <x:c r="T640" s="31" t="str">
        <x:v>https://mp.weixin.qq.com/s?__biz=MzUxOTMxNjk0OQ==&amp;mid=2247508615&amp;idx=1&amp;sn=df48ec792dd57c9cc82b8673b5ee4c23&amp;chksm=f9f9963dce8e1f2bb6a6d438c8bf3cb4b86f004c068cb697e55de995a7402a860d002e5fee3c#rd</x:v>
      </x:c>
    </x:row>
    <x:row r="641">
      <x:c r="A641" s="36" t="d">
        <x:v>2026-10-02T00:00:00.000Z</x:v>
      </x:c>
      <x:c r="B641" s="48" t="n">
        <x:v>239.28</x:v>
      </x:c>
      <x:c r="C641" s="48" t="n">
        <x:v>10.96</x:v>
      </x:c>
      <x:c r="D641" s="48" t="n">
        <x:v>250.75</x:v>
      </x:c>
      <x:c r="E641" s="48" t="n">
        <x:v>37.86</x:v>
      </x:c>
      <x:c r="F641" s="48" t="n">
        <x:v>522</x:v>
      </x:c>
      <x:c r="G641" s="48" t="n">
        <x:v>0</x:v>
      </x:c>
      <x:c r="H641" s="48" t="n">
        <x:v>522</x:v>
      </x:c>
      <x:c r="I641" s="48" t="n">
        <x:v>0</x:v>
      </x:c>
      <x:c r="J641" s="48" t="n">
        <x:v>528</x:v>
      </x:c>
      <x:c r="K641" s="48" t="n">
        <x:v>0</x:v>
      </x:c>
      <x:c r="L641" s="48" t="n">
        <x:v>528</x:v>
      </x:c>
      <x:c r="M641" s="48" t="n">
        <x:v>0</x:v>
      </x:c>
      <x:c r="N641" s="48" t="n">
        <x:v>1.08</x:v>
      </x:c>
      <x:c r="O641" s="48" t="n">
        <x:v>0.5</x:v>
      </x:c>
      <x:c r="P641" s="48" t="n">
        <x:v>1.04</x:v>
      </x:c>
      <x:c r="Q641" s="48" t="n">
        <x:v>0.48</x:v>
      </x:c>
      <x:c r="R641" s="31" t="str">
        <x:v>ok</x:v>
      </x:c>
      <x:c r="S641" s="51" t="n">
        <x:v>0.9987339973449707</x:v>
      </x:c>
      <x:c r="T641" s="31" t="str">
        <x:v>https://mp.weixin.qq.com/s?__biz=MzUxOTMxNjk0OQ==&amp;mid=2247508617&amp;idx=1&amp;sn=e42b8893432963c4bf5778da2aed08ff&amp;chksm=f9f99633ce8e1f25351b8b008ef03d743744b29d50e0766298da774bb0ed7461f9ae950d246b#rd</x:v>
      </x:c>
    </x:row>
    <x:row r="642">
      <x:c r="A642" s="36" t="d">
        <x:v>2026-10-03T00:00:00.000Z</x:v>
      </x:c>
      <x:c r="B642" s="48" t="n">
        <x:v>287.81</x:v>
      </x:c>
      <x:c r="C642" s="48" t="n">
        <x:v>13.56</x:v>
      </x:c>
      <x:c r="D642" s="48" t="n">
        <x:v>310.32</x:v>
      </x:c>
      <x:c r="E642" s="48" t="n">
        <x:v>49.74</x:v>
      </x:c>
      <x:c r="F642" s="48" t="n">
        <x:v>525</x:v>
      </x:c>
      <x:c r="G642" s="48" t="n">
        <x:v>0</x:v>
      </x:c>
      <x:c r="H642" s="48" t="n">
        <x:v>525</x:v>
      </x:c>
      <x:c r="I642" s="48" t="n">
        <x:v>0</x:v>
      </x:c>
      <x:c r="J642" s="48" t="n">
        <x:v>650.46</x:v>
      </x:c>
      <x:c r="K642" s="48" t="n">
        <x:v>0</x:v>
      </x:c>
      <x:c r="L642" s="48" t="n">
        <x:v>650.46</x:v>
      </x:c>
      <x:c r="M642" s="48" t="n">
        <x:v>0</x:v>
      </x:c>
      <x:c r="N642" s="48" t="n">
        <x:v>1.03</x:v>
      </x:c>
      <x:c r="O642" s="48" t="n">
        <x:v>0.58</x:v>
      </x:c>
      <x:c r="P642" s="48" t="n">
        <x:v>0.99</x:v>
      </x:c>
      <x:c r="Q642" s="48" t="n">
        <x:v>0.58</x:v>
      </x:c>
      <x:c r="R642" s="31" t="str">
        <x:v>ok</x:v>
      </x:c>
      <x:c r="S642" s="51" t="n">
        <x:v>0.9988612532615662</x:v>
      </x:c>
      <x:c r="T642" s="31" t="str">
        <x:v>https://mp.weixin.qq.com/s?__biz=MzUxOTMxNjk0OQ==&amp;mid=2247508619&amp;idx=1&amp;sn=7e9957ee3fb76ea34704386cfd2d611d&amp;chksm=f9f99631ce8e1f273a863a33c357c08d707aa25b97490b7419c862a083786f74fe5571f897c0#rd</x:v>
      </x:c>
    </x:row>
    <x:row r="643">
      <x:c r="A643" s="36" t="d">
        <x:v>2026-10-04T00:00:00.000Z</x:v>
      </x:c>
      <x:c r="B643" s="48" t="n">
        <x:v>323.21</x:v>
      </x:c>
      <x:c r="C643" s="48" t="n">
        <x:v>44.44</x:v>
      </x:c>
      <x:c r="D643" s="48" t="n">
        <x:v>318.93</x:v>
      </x:c>
      <x:c r="E643" s="48" t="n">
        <x:v>40.98</x:v>
      </x:c>
      <x:c r="F643" s="48" t="n">
        <x:v>1000</x:v>
      </x:c>
      <x:c r="G643" s="48" t="n">
        <x:v>0</x:v>
      </x:c>
      <x:c r="H643" s="48" t="n">
        <x:v>1000</x:v>
      </x:c>
      <x:c r="I643" s="48" t="n">
        <x:v>0</x:v>
      </x:c>
      <x:c r="J643" s="48" t="n">
        <x:v>1000</x:v>
      </x:c>
      <x:c r="K643" s="48" t="n">
        <x:v>0</x:v>
      </x:c>
      <x:c r="L643" s="48" t="n">
        <x:v>1000</x:v>
      </x:c>
      <x:c r="M643" s="48" t="n">
        <x:v>0</x:v>
      </x:c>
      <x:c r="N643" s="48" t="n">
        <x:v>0.4</x:v>
      </x:c>
      <x:c r="O643" s="48" t="n">
        <x:v>0.61</x:v>
      </x:c>
      <x:c r="P643" s="48" t="n">
        <x:v>0.38</x:v>
      </x:c>
      <x:c r="Q643" s="48" t="n">
        <x:v>0.72</x:v>
      </x:c>
      <x:c r="R643" s="31" t="str">
        <x:v>ok</x:v>
      </x:c>
      <x:c r="S643" s="51" t="n">
        <x:v>0.9895707964897156</x:v>
      </x:c>
      <x:c r="T643" s="31" t="str">
        <x:v>https://mp.weixin.qq.com/s?__biz=MzUxOTMxNjk0OQ==&amp;mid=2247508622&amp;idx=1&amp;sn=852c4a2b0f5158ea949dc1dec7c59c33&amp;chksm=f9f99634ce8e1f22751acc7c784a535750b02e6ce45d47791a385ed14025f13a1cb2b9a83582#rd</x:v>
      </x:c>
    </x:row>
    <x:row r="644">
      <x:c r="A644" s="36" t="d">
        <x:v>2026-10-05T00:00:00.000Z</x:v>
      </x:c>
      <x:c r="B644" s="48" t="n">
        <x:v>251.32</x:v>
      </x:c>
      <x:c r="C644" s="48" t="n">
        <x:v>37.89</x:v>
      </x:c>
      <x:c r="D644" s="48" t="n">
        <x:v>280.7</x:v>
      </x:c>
      <x:c r="E644" s="48" t="n">
        <x:v>31.64</x:v>
      </x:c>
      <x:c r="F644" s="48" t="n">
        <x:v>503</x:v>
      </x:c>
      <x:c r="G644" s="48" t="n">
        <x:v>0</x:v>
      </x:c>
      <x:c r="H644" s="48" t="n">
        <x:v>503</x:v>
      </x:c>
      <x:c r="I644" s="48" t="n">
        <x:v>0</x:v>
      </x:c>
      <x:c r="J644" s="48" t="n">
        <x:v>1000</x:v>
      </x:c>
      <x:c r="K644" s="48" t="n">
        <x:v>0</x:v>
      </x:c>
      <x:c r="L644" s="48" t="n">
        <x:v>1000</x:v>
      </x:c>
      <x:c r="M644" s="48" t="n">
        <x:v>0</x:v>
      </x:c>
      <x:c r="N644" s="48" t="n">
        <x:v>0.2</x:v>
      </x:c>
      <x:c r="O644" s="48" t="n">
        <x:v>0.51</x:v>
      </x:c>
      <x:c r="P644" s="48" t="n">
        <x:v>0.26</x:v>
      </x:c>
      <x:c r="Q644" s="48" t="n">
        <x:v>0.58</x:v>
      </x:c>
      <x:c r="R644" s="31" t="str">
        <x:v>ok</x:v>
      </x:c>
      <x:c r="S644" s="51" t="n">
        <x:v>0.9911884069442749</x:v>
      </x:c>
      <x:c r="T644" s="31" t="str">
        <x:v>https://mp.weixin.qq.com/s?__biz=MzUxOTMxNjk0OQ==&amp;mid=2247508624&amp;idx=1&amp;sn=b811b75017b66095c31bd1a899af9db0&amp;chksm=f9f9962ace8e1f3c151c82d8c78f227218b9c700bb27bb53a69166786234fd4ca8fee30884e6#rd</x:v>
      </x:c>
    </x:row>
    <x:row r="645">
      <x:c r="A645" s="36" t="d">
        <x:v>2026-10-06T00:00:00.000Z</x:v>
      </x:c>
      <x:c r="B645" s="48" t="n">
        <x:v>368.93</x:v>
      </x:c>
      <x:c r="C645" s="48" t="n">
        <x:v>49.68</x:v>
      </x:c>
      <x:c r="D645" s="48" t="n">
        <x:v>375.03</x:v>
      </x:c>
      <x:c r="E645" s="48" t="n">
        <x:v>70.35</x:v>
      </x:c>
      <x:c r="F645" s="48" t="n">
        <x:v>1000</x:v>
      </x:c>
      <x:c r="G645" s="48" t="n">
        <x:v>0</x:v>
      </x:c>
      <x:c r="H645" s="48" t="n">
        <x:v>1000</x:v>
      </x:c>
      <x:c r="I645" s="48" t="n">
        <x:v>0</x:v>
      </x:c>
      <x:c r="J645" s="48" t="n">
        <x:v>1000</x:v>
      </x:c>
      <x:c r="K645" s="48" t="n">
        <x:v>0</x:v>
      </x:c>
      <x:c r="L645" s="48" t="n">
        <x:v>1000</x:v>
      </x:c>
      <x:c r="M645" s="48" t="n">
        <x:v>0</x:v>
      </x:c>
      <x:c r="N645" s="48" t="n">
        <x:v>0.34</x:v>
      </x:c>
      <x:c r="O645" s="48" t="n">
        <x:v>0.52</x:v>
      </x:c>
      <x:c r="P645" s="48" t="n">
        <x:v>0.3</x:v>
      </x:c>
      <x:c r="Q645" s="48" t="n">
        <x:v>0.64</x:v>
      </x:c>
      <x:c r="R645" s="31" t="str">
        <x:v>ok</x:v>
      </x:c>
      <x:c r="S645" s="51" t="n">
        <x:v>0.9897791743278503</x:v>
      </x:c>
      <x:c r="T645" s="31" t="str">
        <x:v>https://mp.weixin.qq.com/s?__biz=MzUxOTMxNjk0OQ==&amp;mid=2247508627&amp;idx=1&amp;sn=3095ebbe84ae9eec91dc4742511341e8&amp;chksm=f9f99629ce8e1f3fb517e638ebf2ccd7913b9cb01fff6279bdd9bd0dba3a25490cd9b81d2359#rd</x:v>
      </x:c>
    </x:row>
    <x:row r="646">
      <x:c r="A646" s="36" t="d">
        <x:v>2026-10-07T00:00:00.000Z</x:v>
      </x:c>
      <x:c r="B646" s="48" t="n">
        <x:v>112.91</x:v>
      </x:c>
      <x:c r="C646" s="48" t="n">
        <x:v>3.88</x:v>
      </x:c>
      <x:c r="D646" s="48" t="n">
        <x:v>107.9</x:v>
      </x:c>
      <x:c r="E646" s="48" t="n">
        <x:v>13.44</x:v>
      </x:c>
      <x:c r="F646" s="48" t="n">
        <x:v>394</x:v>
      </x:c>
      <x:c r="G646" s="48" t="n">
        <x:v>0</x:v>
      </x:c>
      <x:c r="H646" s="48" t="n">
        <x:v>394</x:v>
      </x:c>
      <x:c r="I646" s="48" t="n">
        <x:v>0</x:v>
      </x:c>
      <x:c r="J646" s="48" t="n">
        <x:v>414</x:v>
      </x:c>
      <x:c r="K646" s="48" t="n">
        <x:v>0</x:v>
      </x:c>
      <x:c r="L646" s="48" t="n">
        <x:v>414</x:v>
      </x:c>
      <x:c r="M646" s="48" t="n">
        <x:v>0</x:v>
      </x:c>
      <x:c r="N646" s="48" t="n">
        <x:v>1.07</x:v>
      </x:c>
      <x:c r="O646" s="48" t="n">
        <x:v>0.47</x:v>
      </x:c>
      <x:c r="P646" s="48" t="n">
        <x:v>0.99</x:v>
      </x:c>
      <x:c r="Q646" s="48" t="n">
        <x:v>0.51</x:v>
      </x:c>
      <x:c r="R646" s="31" t="str">
        <x:v>ok</x:v>
      </x:c>
      <x:c r="S646" s="51" t="n">
        <x:v>0.9990274310112</x:v>
      </x:c>
      <x:c r="T646" s="31" t="str">
        <x:v>https://mp.weixin.qq.com/s?__biz=MzUxOTMxNjk0OQ==&amp;mid=2247508631&amp;idx=1&amp;sn=032fba014f7dfad58eca6e2074826950&amp;chksm=f9f9962dce8e1f3b0d8643af17ce96e8361fc13e3d20efe45b64801c992ac73128c794b125cc#rd</x:v>
      </x:c>
    </x:row>
    <x:row r="647">
      <x:c r="A647" s="36" t="d">
        <x:v>2026-10-08T00:00:00.000Z</x:v>
      </x:c>
      <x:c r="B647" s="48" t="n">
        <x:v>334.55</x:v>
      </x:c>
      <x:c r="C647" s="48" t="n">
        <x:v>46.14</x:v>
      </x:c>
      <x:c r="D647" s="48" t="n">
        <x:v>345.96</x:v>
      </x:c>
      <x:c r="E647" s="48" t="n">
        <x:v>94.06</x:v>
      </x:c>
      <x:c r="F647" s="48" t="n">
        <x:v>660.92</x:v>
      </x:c>
      <x:c r="G647" s="48" t="n">
        <x:v>0</x:v>
      </x:c>
      <x:c r="H647" s="48" t="n">
        <x:v>660.92</x:v>
      </x:c>
      <x:c r="I647" s="48" t="n">
        <x:v>0</x:v>
      </x:c>
      <x:c r="J647" s="48" t="n">
        <x:v>1000</x:v>
      </x:c>
      <x:c r="K647" s="48" t="n">
        <x:v>0</x:v>
      </x:c>
      <x:c r="L647" s="48" t="n">
        <x:v>1000</x:v>
      </x:c>
      <x:c r="M647" s="48" t="n">
        <x:v>0</x:v>
      </x:c>
      <x:c r="N647" s="48" t="n">
        <x:v>0.75</x:v>
      </x:c>
      <x:c r="O647" s="48" t="n">
        <x:v>0.68</x:v>
      </x:c>
      <x:c r="P647" s="48" t="n">
        <x:v>0.67</x:v>
      </x:c>
      <x:c r="Q647" s="48" t="n">
        <x:v>0.77</x:v>
      </x:c>
      <x:c r="R647" s="31" t="str">
        <x:v>ok</x:v>
      </x:c>
      <x:c r="S647" s="51" t="n">
        <x:v>0.9412325620651245</x:v>
      </x:c>
      <x:c r="T647" s="31" t="str">
        <x:v>https://mp.weixin.qq.com/s?__biz=MzUxOTMxNjk0OQ==&amp;mid=2247508636&amp;idx=1&amp;sn=9c85d4132b04d6fb7e8be60ab35b7b4e&amp;chksm=f9f99626ce8e1f30bd7c81c364d3667e2a01025dd62e18b0670396857e67081c4504156b800c#rd</x:v>
      </x:c>
    </x:row>
    <x:row r="648">
      <x:c r="A648" s="36" t="d">
        <x:v>2026-10-09T00:00:00.000Z</x:v>
      </x:c>
      <x:c r="B648" s="48" t="n">
        <x:v>257.61</x:v>
      </x:c>
      <x:c r="C648" s="48" t="n">
        <x:v>36.14</x:v>
      </x:c>
      <x:c r="D648" s="48" t="n">
        <x:v>295.96</x:v>
      </x:c>
      <x:c r="E648" s="48" t="n">
        <x:v>53.87</x:v>
      </x:c>
      <x:c r="F648" s="48" t="n">
        <x:v>1000</x:v>
      </x:c>
      <x:c r="G648" s="48" t="n">
        <x:v>0</x:v>
      </x:c>
      <x:c r="H648" s="48" t="n">
        <x:v>1000</x:v>
      </x:c>
      <x:c r="I648" s="48" t="n">
        <x:v>0</x:v>
      </x:c>
      <x:c r="J648" s="48" t="n">
        <x:v>1000</x:v>
      </x:c>
      <x:c r="K648" s="48" t="n">
        <x:v>0</x:v>
      </x:c>
      <x:c r="L648" s="48" t="n">
        <x:v>1000</x:v>
      </x:c>
      <x:c r="M648" s="48" t="n">
        <x:v>0</x:v>
      </x:c>
      <x:c r="N648" s="48" t="n">
        <x:v>0.62</x:v>
      </x:c>
      <x:c r="O648" s="48" t="n">
        <x:v>0.62</x:v>
      </x:c>
      <x:c r="P648" s="48" t="n">
        <x:v>0.64</x:v>
      </x:c>
      <x:c r="Q648" s="48" t="n">
        <x:v>0.7</x:v>
      </x:c>
      <x:c r="R648" s="31" t="str">
        <x:v>ok</x:v>
      </x:c>
      <x:c r="S648" s="51" t="n">
        <x:v>0.992954432964325</x:v>
      </x:c>
      <x:c r="T648" s="31" t="str">
        <x:v>https://mp.weixin.qq.com/s?__biz=MzUxOTMxNjk0OQ==&amp;mid=2247508640&amp;idx=1&amp;sn=f81b3779c9306262d4da780fcd642bb0&amp;chksm=f9f9961ace8e1f0c35aefebc6a85274d8451d3d6e13b31c6ee4f93cfd3f05efce99af64c3453#rd</x:v>
      </x:c>
    </x:row>
    <x:row r="649">
      <x:c r="A649" s="36" t="d">
        <x:v>2026-10-10T00:00:00.000Z</x:v>
      </x:c>
      <x:c r="B649" s="48" t="n">
        <x:v>429.61</x:v>
      </x:c>
      <x:c r="C649" s="48" t="n">
        <x:v>73</x:v>
      </x:c>
      <x:c r="D649" s="48" t="n">
        <x:v>427.29</x:v>
      </x:c>
      <x:c r="E649" s="48" t="n">
        <x:v>109.03</x:v>
      </x:c>
      <x:c r="F649" s="48" t="n">
        <x:v>1000</x:v>
      </x:c>
      <x:c r="G649" s="48" t="n">
        <x:v>0</x:v>
      </x:c>
      <x:c r="H649" s="48" t="n">
        <x:v>1000</x:v>
      </x:c>
      <x:c r="I649" s="48" t="n">
        <x:v>0</x:v>
      </x:c>
      <x:c r="J649" s="48" t="n">
        <x:v>1000</x:v>
      </x:c>
      <x:c r="K649" s="48" t="n">
        <x:v>0</x:v>
      </x:c>
      <x:c r="L649" s="48" t="n">
        <x:v>1000</x:v>
      </x:c>
      <x:c r="M649" s="48" t="n">
        <x:v>0</x:v>
      </x:c>
      <x:c r="N649" s="48" t="n">
        <x:v>0.22</x:v>
      </x:c>
      <x:c r="O649" s="48" t="n">
        <x:v>0.69</x:v>
      </x:c>
      <x:c r="P649" s="48" t="n">
        <x:v>0.21</x:v>
      </x:c>
      <x:c r="Q649" s="48" t="n">
        <x:v>0.84</x:v>
      </x:c>
      <x:c r="R649" s="31" t="str">
        <x:v>ok</x:v>
      </x:c>
      <x:c r="S649" s="51" t="n">
        <x:v>0.9920364618301392</x:v>
      </x:c>
      <x:c r="T649" s="31" t="str">
        <x:v>https://mp.weixin.qq.com/s?__biz=MzUxOTMxNjk0OQ==&amp;mid=2247508642&amp;idx=1&amp;sn=aca07c9f1d08c1ea525a7fc79967e537&amp;chksm=f9f99618ce8e1f0e3fcfc5a26a05349445526347b52952961eaa3af6cdd271a6bae28a9de71f#rd</x:v>
      </x:c>
    </x:row>
    <x:row r="650">
      <x:c r="A650" s="36" t="d">
        <x:v>2026-10-11T00:00:00.000Z</x:v>
      </x:c>
      <x:c r="B650" s="48" t="n">
        <x:v>316.24</x:v>
      </x:c>
      <x:c r="C650" s="48" t="n">
        <x:v>157.83</x:v>
      </x:c>
      <x:c r="D650" s="48" t="n">
        <x:v>328.73</x:v>
      </x:c>
      <x:c r="E650" s="48" t="n">
        <x:v>199.84</x:v>
      </x:c>
      <x:c r="F650" s="48" t="n">
        <x:v>368</x:v>
      </x:c>
      <x:c r="G650" s="48" t="n">
        <x:v>0</x:v>
      </x:c>
      <x:c r="H650" s="48" t="n">
        <x:v>368</x:v>
      </x:c>
      <x:c r="I650" s="48" t="n">
        <x:v>0</x:v>
      </x:c>
      <x:c r="J650" s="48" t="n">
        <x:v>400</x:v>
      </x:c>
      <x:c r="K650" s="48" t="n">
        <x:v>0</x:v>
      </x:c>
      <x:c r="L650" s="48" t="n">
        <x:v>400</x:v>
      </x:c>
      <x:c r="M650" s="48" t="n">
        <x:v>0</x:v>
      </x:c>
      <x:c r="N650" s="48" t="n">
        <x:v>0.35</x:v>
      </x:c>
      <x:c r="O650" s="48" t="n">
        <x:v>0.51</x:v>
      </x:c>
      <x:c r="P650" s="48" t="n">
        <x:v>0.4</x:v>
      </x:c>
      <x:c r="Q650" s="48" t="n">
        <x:v>0.54</x:v>
      </x:c>
      <x:c r="R650" s="31" t="str">
        <x:v>ok</x:v>
      </x:c>
      <x:c r="S650" s="51" t="n">
        <x:v>0.9989261031150818</x:v>
      </x:c>
      <x:c r="T650" s="31" t="str">
        <x:v>https://mp.weixin.qq.com/s?__biz=MzUxOTMxNjk0OQ==&amp;mid=2247508646&amp;idx=1&amp;sn=800d8c300852350b0b8586ebf97890c2&amp;chksm=f9f9961cce8e1f0a7fd0b2d507b67b485bb91357a38309337fa80cacd8d741d1d82a38e6d3a2#rd</x:v>
      </x:c>
    </x:row>
    <x:row r="651">
      <x:c r="A651" s="36" t="d">
        <x:v>2026-10-12T00:00:00.000Z</x:v>
      </x:c>
      <x:c r="B651" s="48" t="n">
        <x:v>306.19</x:v>
      </x:c>
      <x:c r="C651" s="48" t="n">
        <x:v>119.12</x:v>
      </x:c>
      <x:c r="D651" s="48" t="n">
        <x:v>330.96</x:v>
      </x:c>
      <x:c r="E651" s="48" t="n">
        <x:v>167.34</x:v>
      </x:c>
      <x:c r="F651" s="48" t="n">
        <x:v>589.37</x:v>
      </x:c>
      <x:c r="G651" s="48" t="n">
        <x:v>0</x:v>
      </x:c>
      <x:c r="H651" s="48" t="n">
        <x:v>589.37</x:v>
      </x:c>
      <x:c r="I651" s="48" t="n">
        <x:v>0</x:v>
      </x:c>
      <x:c r="J651" s="48" t="n">
        <x:v>800</x:v>
      </x:c>
      <x:c r="K651" s="48" t="n">
        <x:v>0</x:v>
      </x:c>
      <x:c r="L651" s="48" t="n">
        <x:v>800</x:v>
      </x:c>
      <x:c r="M651" s="48" t="n">
        <x:v>0</x:v>
      </x:c>
      <x:c r="N651" s="48" t="n">
        <x:v>0.37</x:v>
      </x:c>
      <x:c r="O651" s="48" t="n">
        <x:v>0.51</x:v>
      </x:c>
      <x:c r="P651" s="48" t="n">
        <x:v>0.44</x:v>
      </x:c>
      <x:c r="Q651" s="48" t="n">
        <x:v>0.51</x:v>
      </x:c>
      <x:c r="R651" s="31" t="str">
        <x:v>ok</x:v>
      </x:c>
      <x:c r="S651" s="51" t="n">
        <x:v>0.9991746544837952</x:v>
      </x:c>
      <x:c r="T651" s="31" t="str">
        <x:v>https://mp.weixin.qq.com/s?__biz=MzUxOTMxNjk0OQ==&amp;mid=2247508650&amp;idx=1&amp;sn=55d0d257aeb49e61ff1b64390e6a825d&amp;chksm=f9f99610ce8e1f06d879e304b10fb6f34d150920e0cd23a7e8c4979a7683e83f8a2834b53db1#rd</x:v>
      </x:c>
    </x:row>
    <x:row r="652">
      <x:c r="A652" s="36" t="d">
        <x:v>2026-10-13T00:00:00.000Z</x:v>
      </x:c>
      <x:c r="B652" s="48" t="n">
        <x:v>337.91</x:v>
      </x:c>
      <x:c r="C652" s="48" t="n">
        <x:v>54.67</x:v>
      </x:c>
      <x:c r="D652" s="48" t="n">
        <x:v>309.68</x:v>
      </x:c>
      <x:c r="E652" s="48" t="n">
        <x:v>46.57</x:v>
      </x:c>
      <x:c r="F652" s="48" t="n">
        <x:v>1000</x:v>
      </x:c>
      <x:c r="G652" s="48" t="n">
        <x:v>0</x:v>
      </x:c>
      <x:c r="H652" s="48" t="n">
        <x:v>1000</x:v>
      </x:c>
      <x:c r="I652" s="48" t="n">
        <x:v>0</x:v>
      </x:c>
      <x:c r="J652" s="48" t="n">
        <x:v>1000</x:v>
      </x:c>
      <x:c r="K652" s="48" t="n">
        <x:v>0</x:v>
      </x:c>
      <x:c r="L652" s="48" t="n">
        <x:v>1000</x:v>
      </x:c>
      <x:c r="M652" s="48" t="n">
        <x:v>0</x:v>
      </x:c>
      <x:c r="N652" s="48" t="n">
        <x:v>0.21</x:v>
      </x:c>
      <x:c r="O652" s="48" t="n">
        <x:v>0.62</x:v>
      </x:c>
      <x:c r="P652" s="48" t="n">
        <x:v>0.23</x:v>
      </x:c>
      <x:c r="Q652" s="48" t="n">
        <x:v>0.7</x:v>
      </x:c>
      <x:c r="R652" s="31" t="str">
        <x:v>ok</x:v>
      </x:c>
      <x:c r="S652" s="51" t="n">
        <x:v>0.9944726824760437</x:v>
      </x:c>
      <x:c r="T652" s="31" t="str">
        <x:v>https://mp.weixin.qq.com/s?__biz=MzUxOTMxNjk0OQ==&amp;mid=2247508676&amp;idx=1&amp;sn=490840b976f759ed4f8535e5a4f1a56b&amp;chksm=f9f9967ece8e1f680269fad289a8c3d43e5faded07e2f3628b5cab82d7e137ad7fbf37f74a71#rd</x:v>
      </x:c>
    </x:row>
    <x:row r="653">
      <x:c r="A653" s="36" t="d">
        <x:v>2026-10-14T00:00:00.000Z</x:v>
      </x:c>
      <x:c r="B653" s="48" t="n">
        <x:v>242.92</x:v>
      </x:c>
      <x:c r="C653" s="48" t="n">
        <x:v>56.19</x:v>
      </x:c>
      <x:c r="D653" s="48" t="n">
        <x:v>200.01</x:v>
      </x:c>
      <x:c r="E653" s="48" t="n">
        <x:v>33.33</x:v>
      </x:c>
      <x:c r="F653" s="48" t="n">
        <x:v>548</x:v>
      </x:c>
      <x:c r="G653" s="48" t="n">
        <x:v>0</x:v>
      </x:c>
      <x:c r="H653" s="48" t="n">
        <x:v>548</x:v>
      </x:c>
      <x:c r="I653" s="48" t="n">
        <x:v>0</x:v>
      </x:c>
      <x:c r="J653" s="48" t="n">
        <x:v>558</x:v>
      </x:c>
      <x:c r="K653" s="48" t="n">
        <x:v>0</x:v>
      </x:c>
      <x:c r="L653" s="48" t="n">
        <x:v>558</x:v>
      </x:c>
      <x:c r="M653" s="48" t="n">
        <x:v>0</x:v>
      </x:c>
      <x:c r="N653" s="48" t="n">
        <x:v>0.67</x:v>
      </x:c>
      <x:c r="O653" s="48" t="n">
        <x:v>0.68</x:v>
      </x:c>
      <x:c r="P653" s="48" t="n">
        <x:v>0.65</x:v>
      </x:c>
      <x:c r="Q653" s="48" t="n">
        <x:v>0.7</x:v>
      </x:c>
      <x:c r="R653" s="31" t="str">
        <x:v>ok</x:v>
      </x:c>
      <x:c r="S653" s="51" t="n">
        <x:v>0.9989965558052063</x:v>
      </x:c>
      <x:c r="T653" s="31" t="str">
        <x:v>https://mp.weixin.qq.com/s?__biz=MzUxOTMxNjk0OQ==&amp;mid=2247508703&amp;idx=1&amp;sn=af16c9d8dfcfc88878e7bd865d219ae7&amp;chksm=f9f99665ce8e1f738762a1965bd1e34e2bc1f580ec4739c306554db1ab07e24416631e12fef7#rd</x:v>
      </x:c>
    </x:row>
    <x:row r="654">
      <x:c r="A654" s="36" t="d">
        <x:v>2026-10-15T00:00:00.000Z</x:v>
      </x:c>
      <x:c r="B654" s="48" t="n">
        <x:v>391.52</x:v>
      </x:c>
      <x:c r="C654" s="48" t="n">
        <x:v>135.17</x:v>
      </x:c>
      <x:c r="D654" s="48" t="n">
        <x:v>419.75</x:v>
      </x:c>
      <x:c r="E654" s="48" t="n">
        <x:v>135.73</x:v>
      </x:c>
      <x:c r="F654" s="48" t="n">
        <x:v>628.64</x:v>
      </x:c>
      <x:c r="G654" s="48" t="n">
        <x:v>0</x:v>
      </x:c>
      <x:c r="H654" s="48" t="n">
        <x:v>628.64</x:v>
      </x:c>
      <x:c r="I654" s="48" t="n">
        <x:v>0</x:v>
      </x:c>
      <x:c r="J654" s="48" t="n">
        <x:v>1000</x:v>
      </x:c>
      <x:c r="K654" s="48" t="n">
        <x:v>0</x:v>
      </x:c>
      <x:c r="L654" s="48" t="n">
        <x:v>1000</x:v>
      </x:c>
      <x:c r="M654" s="48" t="n">
        <x:v>0</x:v>
      </x:c>
      <x:c r="N654" s="48" t="n">
        <x:v>0.22</x:v>
      </x:c>
      <x:c r="O654" s="48" t="n">
        <x:v>0.73</x:v>
      </x:c>
      <x:c r="P654" s="48" t="n">
        <x:v>0.21</x:v>
      </x:c>
      <x:c r="Q654" s="48" t="n">
        <x:v>0.78</x:v>
      </x:c>
      <x:c r="R654" s="31" t="str">
        <x:v>ok</x:v>
      </x:c>
      <x:c r="S654" s="51" t="n">
        <x:v>0.9941396117210388</x:v>
      </x:c>
      <x:c r="T654" s="31" t="str">
        <x:v>https://mp.weixin.qq.com/s?__biz=MzUxOTMxNjk0OQ==&amp;mid=2247508709&amp;idx=1&amp;sn=829a2d9bfdc7017e7f73a9b6c0a57c87&amp;chksm=f9f9965fce8e1f49ba723845b29100fd7a041dcc7b1af10ae186f733f66239b080e36dd95295#rd#rd</x:v>
      </x:c>
    </x:row>
    <x:row r="655">
      <x:c r="A655" s="36" t="d">
        <x:v>2026-10-16T00:00:00.000Z</x:v>
      </x:c>
      <x:c r="B655" s="48" t="n">
        <x:v>330.14</x:v>
      </x:c>
      <x:c r="C655" s="48" t="n">
        <x:v>335.7</x:v>
      </x:c>
      <x:c r="D655" s="48" t="n">
        <x:v>315.23</x:v>
      </x:c>
      <x:c r="E655" s="48" t="n">
        <x:v>249.37</x:v>
      </x:c>
      <x:c r="F655" s="48" t="n">
        <x:v>400</x:v>
      </x:c>
      <x:c r="G655" s="48" t="n">
        <x:v>0</x:v>
      </x:c>
      <x:c r="H655" s="48" t="n">
        <x:v>400</x:v>
      </x:c>
      <x:c r="I655" s="48" t="n">
        <x:v>0</x:v>
      </x:c>
      <x:c r="J655" s="48" t="n">
        <x:v>383</x:v>
      </x:c>
      <x:c r="K655" s="48" t="n">
        <x:v>0</x:v>
      </x:c>
      <x:c r="L655" s="48" t="n">
        <x:v>383</x:v>
      </x:c>
      <x:c r="M655" s="48" t="n">
        <x:v>0</x:v>
      </x:c>
      <x:c r="N655" s="48" t="n">
        <x:v>0.61</x:v>
      </x:c>
      <x:c r="O655" s="48" t="n">
        <x:v>0.31</x:v>
      </x:c>
      <x:c r="P655" s="48" t="n">
        <x:v>0.68</x:v>
      </x:c>
      <x:c r="Q655" s="48" t="n">
        <x:v>0.4</x:v>
      </x:c>
      <x:c r="R655" s="31" t="str">
        <x:v>ok</x:v>
      </x:c>
      <x:c r="S655" s="51" t="n">
        <x:v>0.9988915920257568</x:v>
      </x:c>
      <x:c r="T655" s="31" t="str">
        <x:v>https://mp.weixin.qq.com/s?__biz=MzUxOTMxNjk0OQ==&amp;mid=2247508711&amp;idx=1&amp;sn=39a96cea9b31689ea221ddf737f48056&amp;chksm=f9f9965dce8e1f4b00cbbed01b80d0433cab4fa2d397250f8ec2452b58e6044f4637d5986d22#rd</x:v>
      </x:c>
    </x:row>
    <x:row r="656">
      <x:c r="A656" s="36" t="d">
        <x:v>2026-10-17T00:00:00.000Z</x:v>
      </x:c>
      <x:c r="B656" s="48" t="n">
        <x:v>295.12</x:v>
      </x:c>
      <x:c r="C656" s="48" t="n">
        <x:v>266.87</x:v>
      </x:c>
      <x:c r="D656" s="48" t="n">
        <x:v>239.93</x:v>
      </x:c>
      <x:c r="E656" s="48" t="n">
        <x:v>140.05</x:v>
      </x:c>
      <x:c r="F656" s="48" t="n">
        <x:v>390</x:v>
      </x:c>
      <x:c r="G656" s="48" t="n">
        <x:v>0</x:v>
      </x:c>
      <x:c r="H656" s="48" t="n">
        <x:v>390</x:v>
      </x:c>
      <x:c r="I656" s="48" t="n">
        <x:v>0</x:v>
      </x:c>
      <x:c r="J656" s="48" t="n">
        <x:v>390</x:v>
      </x:c>
      <x:c r="K656" s="48" t="n">
        <x:v>0</x:v>
      </x:c>
      <x:c r="L656" s="48" t="n">
        <x:v>390</x:v>
      </x:c>
      <x:c r="M656" s="48" t="n">
        <x:v>0</x:v>
      </x:c>
      <x:c r="N656" s="48" t="n">
        <x:v>1.25</x:v>
      </x:c>
      <x:c r="O656" s="48" t="n">
        <x:v>0.33</x:v>
      </x:c>
      <x:c r="P656" s="48" t="n">
        <x:v>1.23</x:v>
      </x:c>
      <x:c r="Q656" s="48" t="n">
        <x:v>0.33</x:v>
      </x:c>
      <x:c r="R656" s="31" t="str">
        <x:v>ok</x:v>
      </x:c>
      <x:c r="S656" s="51" t="n">
        <x:v>0.9990068674087524</x:v>
      </x:c>
      <x:c r="T656" s="31" t="str">
        <x:v>https://mp.weixin.qq.com/s?__biz=MzUxOTMxNjk0OQ==&amp;mid=2247508714&amp;idx=1&amp;sn=3afaed4f9619f93844c095de5a8e0c10&amp;chksm=f9f99650ce8e1f463e21e864579cd3313d3a70f0566f44ba061b61bfcaa7c0779fea2568dfa5#rd</x:v>
      </x:c>
    </x:row>
    <x:row r="657">
      <x:c r="A657" s="36" t="d">
        <x:v>2026-10-18T00:00:00.000Z</x:v>
      </x:c>
      <x:c r="B657" s="48" t="n">
        <x:v>356.8</x:v>
      </x:c>
      <x:c r="C657" s="48" t="n">
        <x:v>210.2</x:v>
      </x:c>
      <x:c r="D657" s="48" t="n">
        <x:v>317.38</x:v>
      </x:c>
      <x:c r="E657" s="48" t="n">
        <x:v>74.02</x:v>
      </x:c>
      <x:c r="F657" s="48" t="n">
        <x:v>821.04</x:v>
      </x:c>
      <x:c r="G657" s="48" t="n">
        <x:v>0</x:v>
      </x:c>
      <x:c r="H657" s="48" t="n">
        <x:v>821.04</x:v>
      </x:c>
      <x:c r="I657" s="48" t="n">
        <x:v>0</x:v>
      </x:c>
      <x:c r="J657" s="48" t="n">
        <x:v>696.52</x:v>
      </x:c>
      <x:c r="K657" s="48" t="n">
        <x:v>0</x:v>
      </x:c>
      <x:c r="L657" s="48" t="n">
        <x:v>696.52</x:v>
      </x:c>
      <x:c r="M657" s="48" t="n">
        <x:v>0</x:v>
      </x:c>
      <x:c r="N657" s="48" t="n">
        <x:v>0.58</x:v>
      </x:c>
      <x:c r="O657" s="48" t="n">
        <x:v>0.68</x:v>
      </x:c>
      <x:c r="P657" s="48" t="n">
        <x:v>0.63</x:v>
      </x:c>
      <x:c r="Q657" s="48" t="n">
        <x:v>0.7</x:v>
      </x:c>
      <x:c r="R657" s="31" t="str">
        <x:v>ok</x:v>
      </x:c>
      <x:c r="S657" s="51" t="n">
        <x:v>0.9992173910140991</x:v>
      </x:c>
      <x:c r="T657" s="31" t="str">
        <x:v>https://mp.weixin.qq.com/s?__biz=MzUxOTMxNjk0OQ==&amp;mid=2247508718&amp;idx=1&amp;sn=6760b965bd44389ebfc27cbb491ee133&amp;chksm=f9f99654ce8e1f422915b7653c7dc23c11a23545473dbb3039e1f85ed5a29587122dc18c697f#rd</x:v>
      </x:c>
    </x:row>
    <x:row r="658">
      <x:c r="A658" s="36" t="d">
        <x:v>2026-10-19T00:00:00.000Z</x:v>
      </x:c>
      <x:c r="B658" s="48" t="n">
        <x:v>301.2</x:v>
      </x:c>
      <x:c r="C658" s="48" t="n">
        <x:v>122.36</x:v>
      </x:c>
      <x:c r="D658" s="48" t="n">
        <x:v>221.04</x:v>
      </x:c>
      <x:c r="E658" s="48" t="n">
        <x:v>97.57</x:v>
      </x:c>
      <x:c r="F658" s="48" t="n">
        <x:v>490</x:v>
      </x:c>
      <x:c r="G658" s="48" t="n">
        <x:v>0</x:v>
      </x:c>
      <x:c r="H658" s="48" t="n">
        <x:v>490</x:v>
      </x:c>
      <x:c r="I658" s="48" t="n">
        <x:v>0</x:v>
      </x:c>
      <x:c r="J658" s="48" t="n">
        <x:v>644.12</x:v>
      </x:c>
      <x:c r="K658" s="48" t="n">
        <x:v>0</x:v>
      </x:c>
      <x:c r="L658" s="48" t="n">
        <x:v>644.12</x:v>
      </x:c>
      <x:c r="M658" s="48" t="n">
        <x:v>0</x:v>
      </x:c>
      <x:c r="N658" s="48" t="n">
        <x:v>0.52</x:v>
      </x:c>
      <x:c r="O658" s="48" t="n">
        <x:v>0.58</x:v>
      </x:c>
      <x:c r="P658" s="48" t="n">
        <x:v>0.5</x:v>
      </x:c>
      <x:c r="Q658" s="48" t="n">
        <x:v>0.63</x:v>
      </x:c>
      <x:c r="R658" s="31" t="str">
        <x:v>ok</x:v>
      </x:c>
      <x:c r="S658" s="51" t="n">
        <x:v>0.9990664124488831</x:v>
      </x:c>
      <x:c r="T658" s="31" t="str">
        <x:v>https://mp.weixin.qq.com/s?__biz=MzUxOTMxNjk0OQ==&amp;mid=2247508734&amp;idx=1&amp;sn=997c63ab3d086111d129c0314c77b263&amp;chksm=f9f99644ce8e1f52456278ed52ade1105fdd24e73d013887304b9c6a9843530ecd4a5129b50b#rd</x:v>
      </x:c>
    </x:row>
    <x:row r="659">
      <x:c r="A659" s="36" t="d">
        <x:v>2026-10-20T00:00:00.000Z</x:v>
      </x:c>
      <x:c r="B659" s="48" t="n">
        <x:v>284.26</x:v>
      </x:c>
      <x:c r="C659" s="48" t="n">
        <x:v>112.51</x:v>
      </x:c>
      <x:c r="D659" s="48" t="n">
        <x:v>274</x:v>
      </x:c>
      <x:c r="E659" s="48" t="n">
        <x:v>185.29</x:v>
      </x:c>
      <x:c r="F659" s="48" t="n">
        <x:v>530</x:v>
      </x:c>
      <x:c r="G659" s="48" t="n">
        <x:v>0</x:v>
      </x:c>
      <x:c r="H659" s="48" t="n">
        <x:v>530</x:v>
      </x:c>
      <x:c r="I659" s="48" t="n">
        <x:v>0</x:v>
      </x:c>
      <x:c r="J659" s="48" t="n">
        <x:v>537</x:v>
      </x:c>
      <x:c r="K659" s="48" t="n">
        <x:v>0</x:v>
      </x:c>
      <x:c r="L659" s="48" t="n">
        <x:v>537</x:v>
      </x:c>
      <x:c r="M659" s="48" t="n">
        <x:v>0</x:v>
      </x:c>
      <x:c r="N659" s="48" t="n">
        <x:v>0.98</x:v>
      </x:c>
      <x:c r="O659" s="48" t="n">
        <x:v>0.56</x:v>
      </x:c>
      <x:c r="P659" s="48" t="n">
        <x:v>0.99</x:v>
      </x:c>
      <x:c r="Q659" s="48" t="n">
        <x:v>0.51</x:v>
      </x:c>
      <x:c r="R659" s="31" t="str">
        <x:v>ok</x:v>
      </x:c>
      <x:c r="S659" s="51" t="n">
        <x:v>0.9989855885505676</x:v>
      </x:c>
      <x:c r="T659" s="31" t="str">
        <x:v>https://mp.weixin.qq.com/s?__biz=MzUxOTMxNjk0OQ==&amp;mid=2247508743&amp;idx=1&amp;sn=de71a701cde75088dcc9b05b3ed22457&amp;chksm=f9f997bdce8e1eab4d2bb8aa5b015108a8cbaaf3b7bc739dbe56fee06898a7ec5f55f9bc68be#rd</x:v>
      </x:c>
    </x:row>
    <x:row r="660">
      <x:c r="A660" s="36" t="d">
        <x:v>2026-10-21T00:00:00.000Z</x:v>
      </x:c>
      <x:c r="B660" s="48" t="n">
        <x:v>337.8</x:v>
      </x:c>
      <x:c r="C660" s="48" t="n">
        <x:v>52.58</x:v>
      </x:c>
      <x:c r="D660" s="48" t="n">
        <x:v>336.56</x:v>
      </x:c>
      <x:c r="E660" s="48" t="n">
        <x:v>58.55</x:v>
      </x:c>
      <x:c r="F660" s="48" t="n">
        <x:v>745.69</x:v>
      </x:c>
      <x:c r="G660" s="48" t="n">
        <x:v>0</x:v>
      </x:c>
      <x:c r="H660" s="48" t="n">
        <x:v>745.69</x:v>
      </x:c>
      <x:c r="I660" s="48" t="n">
        <x:v>0</x:v>
      </x:c>
      <x:c r="J660" s="48" t="n">
        <x:v>744.86</x:v>
      </x:c>
      <x:c r="K660" s="48" t="n">
        <x:v>0</x:v>
      </x:c>
      <x:c r="L660" s="48" t="n">
        <x:v>744.86</x:v>
      </x:c>
      <x:c r="M660" s="48" t="n">
        <x:v>0</x:v>
      </x:c>
      <x:c r="N660" s="48" t="n">
        <x:v>0.58</x:v>
      </x:c>
      <x:c r="O660" s="48" t="n">
        <x:v>0.66</x:v>
      </x:c>
      <x:c r="P660" s="48" t="n">
        <x:v>0.61</x:v>
      </x:c>
      <x:c r="Q660" s="48" t="n">
        <x:v>0.78</x:v>
      </x:c>
      <x:c r="R660" s="31" t="str">
        <x:v>ok</x:v>
      </x:c>
      <x:c r="S660" s="51" t="n">
        <x:v>0.9915923476219177</x:v>
      </x:c>
      <x:c r="T660" s="31" t="str">
        <x:v>https://mp.weixin.qq.com/s?__biz=MzUxOTMxNjk0OQ==&amp;mid=2247508756&amp;idx=1&amp;sn=2145c8c5030137c66d76adb755ca696f&amp;chksm=f9f997aece8e1eb8987f223567e9969f3cfffc11ec90b90ea6c882b87a93d04e0a42f02c2eaf#rd</x:v>
      </x:c>
    </x:row>
    <x:row r="661">
      <x:c r="A661" s="36" t="d">
        <x:v>2026-10-22T00:00:00.000Z</x:v>
      </x:c>
      <x:c r="B661" s="48" t="n">
        <x:v>334</x:v>
      </x:c>
      <x:c r="C661" s="48" t="n">
        <x:v>208.84</x:v>
      </x:c>
      <x:c r="D661" s="48" t="n">
        <x:v>328.34</x:v>
      </x:c>
      <x:c r="E661" s="48" t="n">
        <x:v>225.85</x:v>
      </x:c>
      <x:c r="F661" s="48" t="n">
        <x:v>510</x:v>
      </x:c>
      <x:c r="G661" s="48" t="n">
        <x:v>0</x:v>
      </x:c>
      <x:c r="H661" s="48" t="n">
        <x:v>510</x:v>
      </x:c>
      <x:c r="I661" s="48" t="n">
        <x:v>0</x:v>
      </x:c>
      <x:c r="J661" s="48" t="n">
        <x:v>510</x:v>
      </x:c>
      <x:c r="K661" s="48" t="n">
        <x:v>0</x:v>
      </x:c>
      <x:c r="L661" s="48" t="n">
        <x:v>510</x:v>
      </x:c>
      <x:c r="M661" s="48" t="n">
        <x:v>0</x:v>
      </x:c>
      <x:c r="N661" s="48" t="n">
        <x:v>0.91</x:v>
      </x:c>
      <x:c r="O661" s="48" t="n">
        <x:v>0.46</x:v>
      </x:c>
      <x:c r="P661" s="48" t="n">
        <x:v>0.99</x:v>
      </x:c>
      <x:c r="Q661" s="48" t="n">
        <x:v>0.45</x:v>
      </x:c>
      <x:c r="R661" s="31" t="str">
        <x:v>ok</x:v>
      </x:c>
      <x:c r="S661" s="51" t="n">
        <x:v>0.9982428550720215</x:v>
      </x:c>
      <x:c r="T661" s="31" t="str">
        <x:v>https://mp.weixin.qq.com/s?__biz=MzUxOTMxNjk0OQ==&amp;mid=2247508765&amp;idx=1&amp;sn=e83fd92caad39e81b2f6666f7753531d&amp;chksm=f9f997a7ce8e1eb18c864f5c4016b3789d9b2f364279d8354db3ff93dfbf5d6a747c5414a736#rd</x:v>
      </x:c>
    </x:row>
    <x:row r="662">
      <x:c r="A662" s="36" t="d">
        <x:v>2026-10-23T00:00:00.000Z</x:v>
      </x:c>
      <x:c r="B662" s="48" t="n">
        <x:v>309.23</x:v>
      </x:c>
      <x:c r="C662" s="48" t="n">
        <x:v>65.84</x:v>
      </x:c>
      <x:c r="D662" s="48" t="n">
        <x:v>319.61</x:v>
      </x:c>
      <x:c r="E662" s="48" t="n">
        <x:v>72.6</x:v>
      </x:c>
      <x:c r="F662" s="48" t="n">
        <x:v>610</x:v>
      </x:c>
      <x:c r="G662" s="48" t="n">
        <x:v>0</x:v>
      </x:c>
      <x:c r="H662" s="48" t="n">
        <x:v>610</x:v>
      </x:c>
      <x:c r="I662" s="48" t="n">
        <x:v>0</x:v>
      </x:c>
      <x:c r="J662" s="48" t="n">
        <x:v>630</x:v>
      </x:c>
      <x:c r="K662" s="48" t="n">
        <x:v>0</x:v>
      </x:c>
      <x:c r="L662" s="48" t="n">
        <x:v>630</x:v>
      </x:c>
      <x:c r="M662" s="48" t="n">
        <x:v>0</x:v>
      </x:c>
      <x:c r="N662" s="48" t="n">
        <x:v>0.99</x:v>
      </x:c>
      <x:c r="O662" s="48" t="n">
        <x:v>0.6</x:v>
      </x:c>
      <x:c r="P662" s="48" t="n">
        <x:v>0.97</x:v>
      </x:c>
      <x:c r="Q662" s="48" t="n">
        <x:v>0.65</x:v>
      </x:c>
      <x:c r="R662" s="31" t="str">
        <x:v>ok</x:v>
      </x:c>
      <x:c r="S662" s="51" t="n">
        <x:v>0.9988217353820801</x:v>
      </x:c>
      <x:c r="T662" s="31" t="str">
        <x:v>https://mp.weixin.qq.com/s?__biz=MzUxOTMxNjk0OQ==&amp;mid=2247508767&amp;idx=1&amp;sn=cc7756320d9892334b89f9797f0df44f&amp;chksm=f9f997a5ce8e1eb372c477c0870090c5eb04afee63d0492f4f8dfc97715cd167ac722506cdd9#rd</x:v>
      </x:c>
    </x:row>
    <x:row r="663">
      <x:c r="A663" s="36" t="d">
        <x:v>2026-10-24T00:00:00.000Z</x:v>
      </x:c>
      <x:c r="B663" s="48" t="n">
        <x:v>355.99</x:v>
      </x:c>
      <x:c r="C663" s="48" t="n">
        <x:v>283.18</x:v>
      </x:c>
      <x:c r="D663" s="48" t="n">
        <x:v>375.47</x:v>
      </x:c>
      <x:c r="E663" s="48" t="n">
        <x:v>375.27</x:v>
      </x:c>
      <x:c r="F663" s="48" t="n">
        <x:v>435</x:v>
      </x:c>
      <x:c r="G663" s="48" t="n">
        <x:v>0</x:v>
      </x:c>
      <x:c r="H663" s="48" t="n">
        <x:v>435</x:v>
      </x:c>
      <x:c r="I663" s="48" t="n">
        <x:v>0</x:v>
      </x:c>
      <x:c r="J663" s="48" t="n">
        <x:v>435</x:v>
      </x:c>
      <x:c r="K663" s="48" t="n">
        <x:v>0</x:v>
      </x:c>
      <x:c r="L663" s="48" t="n">
        <x:v>435</x:v>
      </x:c>
      <x:c r="M663" s="48" t="n">
        <x:v>0</x:v>
      </x:c>
      <x:c r="N663" s="48" t="n">
        <x:v>0.5</x:v>
      </x:c>
      <x:c r="O663" s="48" t="n">
        <x:v>0.55</x:v>
      </x:c>
      <x:c r="P663" s="48" t="n">
        <x:v>0.32</x:v>
      </x:c>
      <x:c r="Q663" s="48" t="n">
        <x:v>0.49</x:v>
      </x:c>
      <x:c r="R663" s="31" t="str">
        <x:v>ok</x:v>
      </x:c>
      <x:c r="S663" s="51" t="n">
        <x:v>0.9983911514282227</x:v>
      </x:c>
      <x:c r="T663" s="31" t="str">
        <x:v>https://mp.weixin.qq.com/s?__biz=MzUxOTMxNjk0OQ==&amp;mid=2247508770&amp;idx=1&amp;sn=84d14498290ba28439c433948e7c83b4&amp;chksm=f9f99798ce8e1e8ed325735a7cefcaa0242f456b9c3364a7522698cbc91c25a6dfde83a08177#rd</x:v>
      </x:c>
    </x:row>
    <x:row r="664">
      <x:c r="A664" s="36" t="d">
        <x:v>2026-10-25T00:00:00.000Z</x:v>
      </x:c>
      <x:c r="B664" s="48" t="n">
        <x:v>338.99</x:v>
      </x:c>
      <x:c r="C664" s="48" t="n">
        <x:v>369.19</x:v>
      </x:c>
      <x:c r="D664" s="48" t="n">
        <x:v>326.02</x:v>
      </x:c>
      <x:c r="E664" s="48" t="n">
        <x:v>372.7</x:v>
      </x:c>
      <x:c r="F664" s="48" t="n">
        <x:v>420</x:v>
      </x:c>
      <x:c r="G664" s="48" t="n">
        <x:v>0</x:v>
      </x:c>
      <x:c r="H664" s="48" t="n">
        <x:v>420</x:v>
      </x:c>
      <x:c r="I664" s="48" t="n">
        <x:v>0</x:v>
      </x:c>
      <x:c r="J664" s="48" t="n">
        <x:v>1000</x:v>
      </x:c>
      <x:c r="K664" s="48" t="n">
        <x:v>0</x:v>
      </x:c>
      <x:c r="L664" s="48" t="n">
        <x:v>1000</x:v>
      </x:c>
      <x:c r="M664" s="48" t="n">
        <x:v>0</x:v>
      </x:c>
      <x:c r="N664" s="48" t="n">
        <x:v>0.34</x:v>
      </x:c>
      <x:c r="O664" s="48" t="n">
        <x:v>0.15</x:v>
      </x:c>
      <x:c r="P664" s="48" t="n">
        <x:v>0.28</x:v>
      </x:c>
      <x:c r="Q664" s="48" t="n">
        <x:v>0.13</x:v>
      </x:c>
      <x:c r="R664" s="31" t="str">
        <x:v>ok</x:v>
      </x:c>
      <x:c r="S664" s="51" t="n">
        <x:v>0.9955382347106934</x:v>
      </x:c>
      <x:c r="T664" s="31" t="str">
        <x:v>https://mp.weixin.qq.com/s?__biz=MzUxOTMxNjk0OQ==&amp;mid=2247508773&amp;idx=1&amp;sn=318d5cbf69907cd4d72eb87acd515592&amp;chksm=f9f9979fce8e1e89d5f6904957d1696d2c0f0f32139699441f6ed1bfe0a36079e1d60099c9d3#rd</x:v>
      </x:c>
    </x:row>
    <x:row r="665">
      <x:c r="A665" s="36" t="d">
        <x:v>2026-10-26T00:00:00.000Z</x:v>
      </x:c>
      <x:c r="B665" s="48" t="n">
        <x:v>331.71</x:v>
      </x:c>
      <x:c r="C665" s="48" t="n">
        <x:v>189.7</x:v>
      </x:c>
      <x:c r="D665" s="48" t="n">
        <x:v>306.61</x:v>
      </x:c>
      <x:c r="E665" s="48" t="n">
        <x:v>204.53</x:v>
      </x:c>
      <x:c r="F665" s="48" t="n">
        <x:v>606.02</x:v>
      </x:c>
      <x:c r="G665" s="48" t="n">
        <x:v>0</x:v>
      </x:c>
      <x:c r="H665" s="48" t="n">
        <x:v>606.02</x:v>
      </x:c>
      <x:c r="I665" s="48" t="n">
        <x:v>0</x:v>
      </x:c>
      <x:c r="J665" s="48" t="n">
        <x:v>531.58</x:v>
      </x:c>
      <x:c r="K665" s="48" t="n">
        <x:v>0</x:v>
      </x:c>
      <x:c r="L665" s="48" t="n">
        <x:v>531.58</x:v>
      </x:c>
      <x:c r="M665" s="48" t="n">
        <x:v>0</x:v>
      </x:c>
      <x:c r="N665" s="48" t="n">
        <x:v>0.88</x:v>
      </x:c>
      <x:c r="O665" s="48" t="n">
        <x:v>0.38</x:v>
      </x:c>
      <x:c r="P665" s="48" t="n">
        <x:v>0.81</x:v>
      </x:c>
      <x:c r="Q665" s="48" t="n">
        <x:v>0.38</x:v>
      </x:c>
      <x:c r="R665" s="31" t="str">
        <x:v>ok</x:v>
      </x:c>
      <x:c r="S665" s="51" t="n">
        <x:v>0.9980614185333252</x:v>
      </x:c>
      <x:c r="T665" s="31" t="str">
        <x:v>https://mp.weixin.qq.com/s?__biz=MzUxOTMxNjk0OQ==&amp;mid=2247508777&amp;idx=1&amp;sn=f7d43f78a65b482342402b84e0b8bd75&amp;chksm=f9f99793ce8e1e85f7b3bf8e7acd30fc655554081a9f16cf28232c60837eb5ce461f656f61e2#rd</x:v>
      </x:c>
    </x:row>
    <x:row r="666">
      <x:c r="A666" s="36" t="d">
        <x:v>2026-10-27T00:00:00.000Z</x:v>
      </x:c>
      <x:c r="B666" s="48" t="n">
        <x:v>355.27</x:v>
      </x:c>
      <x:c r="C666" s="48" t="n">
        <x:v>179.6</x:v>
      </x:c>
      <x:c r="D666" s="48" t="n">
        <x:v>334.22</x:v>
      </x:c>
      <x:c r="E666" s="48" t="n">
        <x:v>111.05</x:v>
      </x:c>
      <x:c r="F666" s="48" t="n">
        <x:v>615.34</x:v>
      </x:c>
      <x:c r="G666" s="48" t="n">
        <x:v>0</x:v>
      </x:c>
      <x:c r="H666" s="48" t="n">
        <x:v>615.34</x:v>
      </x:c>
      <x:c r="I666" s="48" t="n">
        <x:v>0</x:v>
      </x:c>
      <x:c r="J666" s="48" t="n">
        <x:v>600.27</x:v>
      </x:c>
      <x:c r="K666" s="48" t="n">
        <x:v>0</x:v>
      </x:c>
      <x:c r="L666" s="48" t="n">
        <x:v>600.27</x:v>
      </x:c>
      <x:c r="M666" s="48" t="n">
        <x:v>0</x:v>
      </x:c>
      <x:c r="N666" s="48" t="n">
        <x:v>0.33</x:v>
      </x:c>
      <x:c r="O666" s="48" t="n">
        <x:v>0.66</x:v>
      </x:c>
      <x:c r="P666" s="48" t="n">
        <x:v>0.29</x:v>
      </x:c>
      <x:c r="Q666" s="48" t="n">
        <x:v>0.74</x:v>
      </x:c>
      <x:c r="R666" s="31" t="str">
        <x:v>ok</x:v>
      </x:c>
      <x:c r="S666" s="51" t="n">
        <x:v>0.9991114735603333</x:v>
      </x:c>
      <x:c r="T666" s="31" t="str">
        <x:v>https://mp.weixin.qq.com/s?__biz=MzUxOTMxNjk0OQ==&amp;mid=2247508796&amp;idx=1&amp;sn=5f17ee856e7b7a3f55629bdf50313db2&amp;chksm=f9f99786ce8e1e905ba251bb777ef2b92ee655bfe00c6823fd6a12109128c8a0576b7602654e#rd</x:v>
      </x:c>
    </x:row>
  </x:sheetData>
  <x:conditionalFormatting sqref="R2:R666">
    <x:cfRule type="expression" dxfId="0" priority="1">
      <x:formula>R2="ok"</x:formula>
    </x:cfRule>
    <x:cfRule type="expression" dxfId="1" priority="2">
      <x:formula>OR(R2="ocr_review",R2="range_review",R2="confidence_review",R2="待复核")</x:formula>
    </x:cfRule>
    <x:cfRule type="expression" dxfId="2" priority="3">
      <x:formula>R2="公众号未发布"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月度价格汇总</x:v>
      </x:c>
      <x:c r="B1" s="3" t="str">
        <x:v>月度价格汇总</x:v>
      </x:c>
      <x:c r="C1" s="3" t="str">
        <x:v>月度价格汇总</x:v>
      </x:c>
      <x:c r="D1" s="3" t="str">
        <x:v>月度价格汇总</x:v>
      </x:c>
      <x:c r="E1" s="3" t="str">
        <x:v>月度价格汇总</x:v>
      </x:c>
      <x:c r="F1" s="3" t="str">
        <x:v>月度价格汇总</x:v>
      </x:c>
      <x:c r="G1" s="3" t="str">
        <x:v>月度价格汇总</x:v>
      </x:c>
      <x:c r="H1" s="3" t="str">
        <x:v>月度价格汇总</x:v>
      </x:c>
    </x:row>
    <x:row r="2" ht="30" customHeight="1">
      <x:c r="A2" s="6" t="str">
        <x:v>每日加权均价的月度算术平均。官网仅取回至 2026-10-27；末月不是完整月，缺口未计入。</x:v>
      </x:c>
      <x:c r="B2" s="6" t="str">
        <x:v>每日加权均价的月度算术平均。官网仅取回至 2026-10-27；末月不是完整月，缺口未计入。</x:v>
      </x:c>
      <x:c r="C2" s="6" t="str">
        <x:v>每日加权均价的月度算术平均。官网仅取回至 2026-10-27；末月不是完整月，缺口未计入。</x:v>
      </x:c>
      <x:c r="D2" s="6" t="str">
        <x:v>每日加权均价的月度算术平均。官网仅取回至 2026-10-27；末月不是完整月，缺口未计入。</x:v>
      </x:c>
      <x:c r="E2" s="6" t="str">
        <x:v>每日加权均价的月度算术平均。官网仅取回至 2026-10-27；末月不是完整月，缺口未计入。</x:v>
      </x:c>
      <x:c r="F2" s="6" t="str">
        <x:v>每日加权均价的月度算术平均。官网仅取回至 2026-10-27；末月不是完整月，缺口未计入。</x:v>
      </x:c>
      <x:c r="G2" s="6" t="str">
        <x:v>每日加权均价的月度算术平均。官网仅取回至 2026-10-27；末月不是完整月，缺口未计入。</x:v>
      </x:c>
      <x:c r="H2" s="6" t="str">
        <x:v>每日加权均价的月度算术平均。官网仅取回至 2026-10-27；末月不是完整月，缺口未计入。</x:v>
      </x:c>
    </x:row>
    <x:row r="4" ht="30" customHeight="1">
      <x:c r="A4" s="27" t="str">
        <x:v>月份</x:v>
      </x:c>
      <x:c r="B4" s="27" t="str">
        <x:v>总体日前</x:v>
      </x:c>
      <x:c r="C4" s="27" t="str">
        <x:v>总体实时</x:v>
      </x:c>
      <x:c r="D4" s="27" t="str">
        <x:v>火电日前</x:v>
      </x:c>
      <x:c r="E4" s="27" t="str">
        <x:v>火电实时</x:v>
      </x:c>
      <x:c r="F4" s="27" t="str">
        <x:v>新能源日前</x:v>
      </x:c>
      <x:c r="G4" s="27" t="str">
        <x:v>新能源实时</x:v>
      </x:c>
      <x:c r="H4" s="27" t="str">
        <x:v>日前-实时价差</x:v>
      </x:c>
    </x:row>
    <x:row r="5">
      <x:c r="A5" s="52" t="d">
        <x:v>2025-01-01T00:00:00.000Z</x:v>
      </x:c>
      <x:c r="B5" s="46" t="n">
        <x:f>IFERROR(SUMIFS('每日数据'!$B$2:$B$666,'每日数据'!$A$2:$A$666,"&gt;="&amp;$A5,'每日数据'!$A$2:$A$666,"&lt;"&amp;EDATE($A5,1))/COUNTIFS('每日数据'!$A$2:$A$666,"&gt;="&amp;$A5,'每日数据'!$A$2:$A$666,"&lt;"&amp;EDATE($A5,1),'每日数据'!$B$2:$B$666,"&lt;&gt;"),"")</x:f>
        <x:v>329.55612903225807</x:v>
      </x:c>
      <x:c r="C5" s="46" t="n">
        <x:f>IFERROR(SUMIFS('每日数据'!$C$2:$C$666,'每日数据'!$A$2:$A$666,"&gt;="&amp;$A5,'每日数据'!$A$2:$A$666,"&lt;"&amp;EDATE($A5,1))/COUNTIFS('每日数据'!$A$2:$A$666,"&gt;="&amp;$A5,'每日数据'!$A$2:$A$666,"&lt;"&amp;EDATE($A5,1),'每日数据'!$C$2:$C$666,"&lt;&gt;"),"")</x:f>
        <x:v>363.4670967741936</x:v>
      </x:c>
      <x:c r="D5" s="46" t="n">
        <x:f>IFERROR(SUMIFS('每日数据'!$D$2:$D$666,'每日数据'!$A$2:$A$666,"&gt;="&amp;$A5,'每日数据'!$A$2:$A$666,"&lt;"&amp;EDATE($A5,1))/COUNTIFS('每日数据'!$A$2:$A$666,"&gt;="&amp;$A5,'每日数据'!$A$2:$A$666,"&lt;"&amp;EDATE($A5,1),'每日数据'!$D$2:$D$666,"&lt;&gt;"),"")</x:f>
        <x:v>351.32580645161295</x:v>
      </x:c>
      <x:c r="E5" s="46" t="n">
        <x:f>IFERROR(SUMIFS('每日数据'!$E$2:$E$666,'每日数据'!$A$2:$A$666,"&gt;="&amp;$A5,'每日数据'!$A$2:$A$666,"&lt;"&amp;EDATE($A5,1))/COUNTIFS('每日数据'!$A$2:$A$666,"&gt;="&amp;$A5,'每日数据'!$A$2:$A$666,"&lt;"&amp;EDATE($A5,1),'每日数据'!$E$2:$E$666,"&lt;&gt;"),"")</x:f>
        <x:v>385.76935483870983</x:v>
      </x:c>
      <x:c r="F5" s="46" t="n">
        <x:f>IFERROR(SUMIFS('每日数据'!$F$2:$F$666,'每日数据'!$A$2:$A$666,"&gt;="&amp;$A5,'每日数据'!$A$2:$A$666,"&lt;"&amp;EDATE($A5,1))/COUNTIFS('每日数据'!$A$2:$A$666,"&gt;="&amp;$A5,'每日数据'!$A$2:$A$666,"&lt;"&amp;EDATE($A5,1),'每日数据'!$F$2:$F$666,"&lt;&gt;"),"")</x:f>
        <x:v>215.62870967741932</x:v>
      </x:c>
      <x:c r="G5" s="46" t="n">
        <x:f>IFERROR(SUMIFS('每日数据'!$G$2:$G$666,'每日数据'!$A$2:$A$666,"&gt;="&amp;$A5,'每日数据'!$A$2:$A$666,"&lt;"&amp;EDATE($A5,1))/COUNTIFS('每日数据'!$A$2:$A$666,"&gt;="&amp;$A5,'每日数据'!$A$2:$A$666,"&lt;"&amp;EDATE($A5,1),'每日数据'!$G$2:$G$666,"&lt;&gt;"),"")</x:f>
        <x:v>246.1216129032258</x:v>
      </x:c>
      <x:c r="H5" s="46" t="n">
        <x:f>B5-C5</x:f>
        <x:v>-33.91096774193551</x:v>
      </x:c>
    </x:row>
    <x:row r="6">
      <x:c r="A6" s="52" t="d">
        <x:v>2025-02-01T00:00:00.000Z</x:v>
      </x:c>
      <x:c r="B6" s="46" t="n">
        <x:f>IFERROR(SUMIFS('每日数据'!$B$2:$B$666,'每日数据'!$A$2:$A$666,"&gt;="&amp;$A6,'每日数据'!$A$2:$A$666,"&lt;"&amp;EDATE($A6,1))/COUNTIFS('每日数据'!$A$2:$A$666,"&gt;="&amp;$A6,'每日数据'!$A$2:$A$666,"&lt;"&amp;EDATE($A6,1),'每日数据'!$B$2:$B$666,"&lt;&gt;"),"")</x:f>
        <x:v>300.44928571428574</x:v>
      </x:c>
      <x:c r="C6" s="46" t="n">
        <x:f>IFERROR(SUMIFS('每日数据'!$C$2:$C$666,'每日数据'!$A$2:$A$666,"&gt;="&amp;$A6,'每日数据'!$A$2:$A$666,"&lt;"&amp;EDATE($A6,1))/COUNTIFS('每日数据'!$A$2:$A$666,"&gt;="&amp;$A6,'每日数据'!$A$2:$A$666,"&lt;"&amp;EDATE($A6,1),'每日数据'!$C$2:$C$666,"&lt;&gt;"),"")</x:f>
        <x:v>260.71535714285716</x:v>
      </x:c>
      <x:c r="D6" s="46" t="n">
        <x:f>IFERROR(SUMIFS('每日数据'!$D$2:$D$666,'每日数据'!$A$2:$A$666,"&gt;="&amp;$A6,'每日数据'!$A$2:$A$666,"&lt;"&amp;EDATE($A6,1))/COUNTIFS('每日数据'!$A$2:$A$666,"&gt;="&amp;$A6,'每日数据'!$A$2:$A$666,"&lt;"&amp;EDATE($A6,1),'每日数据'!$D$2:$D$666,"&lt;&gt;"),"")</x:f>
        <x:v>328.29571428571427</x:v>
      </x:c>
      <x:c r="E6" s="46" t="n">
        <x:f>IFERROR(SUMIFS('每日数据'!$E$2:$E$666,'每日数据'!$A$2:$A$666,"&gt;="&amp;$A6,'每日数据'!$A$2:$A$666,"&lt;"&amp;EDATE($A6,1))/COUNTIFS('每日数据'!$A$2:$A$666,"&gt;="&amp;$A6,'每日数据'!$A$2:$A$666,"&lt;"&amp;EDATE($A6,1),'每日数据'!$E$2:$E$666,"&lt;&gt;"),"")</x:f>
        <x:v>279.91249999999997</x:v>
      </x:c>
      <x:c r="F6" s="46" t="n">
        <x:f>IFERROR(SUMIFS('每日数据'!$F$2:$F$666,'每日数据'!$A$2:$A$666,"&gt;="&amp;$A6,'每日数据'!$A$2:$A$666,"&lt;"&amp;EDATE($A6,1))/COUNTIFS('每日数据'!$A$2:$A$666,"&gt;="&amp;$A6,'每日数据'!$A$2:$A$666,"&lt;"&amp;EDATE($A6,1),'每日数据'!$F$2:$F$666,"&lt;&gt;"),"")</x:f>
        <x:v>178.16428571428574</x:v>
      </x:c>
      <x:c r="G6" s="46" t="n">
        <x:f>IFERROR(SUMIFS('每日数据'!$G$2:$G$666,'每日数据'!$A$2:$A$666,"&gt;="&amp;$A6,'每日数据'!$A$2:$A$666,"&lt;"&amp;EDATE($A6,1))/COUNTIFS('每日数据'!$A$2:$A$666,"&gt;="&amp;$A6,'每日数据'!$A$2:$A$666,"&lt;"&amp;EDATE($A6,1),'每日数据'!$G$2:$G$666,"&lt;&gt;"),"")</x:f>
        <x:v>177.3103571428571</x:v>
      </x:c>
      <x:c r="H6" s="46" t="n">
        <x:f>B6-C6</x:f>
        <x:v>39.73392857142858</x:v>
      </x:c>
    </x:row>
    <x:row r="7">
      <x:c r="A7" s="52" t="d">
        <x:v>2025-03-01T00:00:00.000Z</x:v>
      </x:c>
      <x:c r="B7" s="46" t="n">
        <x:f>IFERROR(SUMIFS('每日数据'!$B$2:$B$666,'每日数据'!$A$2:$A$666,"&gt;="&amp;$A7,'每日数据'!$A$2:$A$666,"&lt;"&amp;EDATE($A7,1))/COUNTIFS('每日数据'!$A$2:$A$666,"&gt;="&amp;$A7,'每日数据'!$A$2:$A$666,"&lt;"&amp;EDATE($A7,1),'每日数据'!$B$2:$B$666,"&lt;&gt;"),"")</x:f>
        <x:v>279.8206451612903</x:v>
      </x:c>
      <x:c r="C7" s="46" t="n">
        <x:f>IFERROR(SUMIFS('每日数据'!$C$2:$C$666,'每日数据'!$A$2:$A$666,"&gt;="&amp;$A7,'每日数据'!$A$2:$A$666,"&lt;"&amp;EDATE($A7,1))/COUNTIFS('每日数据'!$A$2:$A$666,"&gt;="&amp;$A7,'每日数据'!$A$2:$A$666,"&lt;"&amp;EDATE($A7,1),'每日数据'!$C$2:$C$666,"&lt;&gt;"),"")</x:f>
        <x:v>249.16709677419354</x:v>
      </x:c>
      <x:c r="D7" s="46" t="n">
        <x:f>IFERROR(SUMIFS('每日数据'!$D$2:$D$666,'每日数据'!$A$2:$A$666,"&gt;="&amp;$A7,'每日数据'!$A$2:$A$666,"&lt;"&amp;EDATE($A7,1))/COUNTIFS('每日数据'!$A$2:$A$666,"&gt;="&amp;$A7,'每日数据'!$A$2:$A$666,"&lt;"&amp;EDATE($A7,1),'每日数据'!$D$2:$D$666,"&lt;&gt;"),"")</x:f>
        <x:v>312.7683870967742</x:v>
      </x:c>
      <x:c r="E7" s="46" t="n">
        <x:f>IFERROR(SUMIFS('每日数据'!$E$2:$E$666,'每日数据'!$A$2:$A$666,"&gt;="&amp;$A7,'每日数据'!$A$2:$A$666,"&lt;"&amp;EDATE($A7,1))/COUNTIFS('每日数据'!$A$2:$A$666,"&gt;="&amp;$A7,'每日数据'!$A$2:$A$666,"&lt;"&amp;EDATE($A7,1),'每日数据'!$E$2:$E$666,"&lt;&gt;"),"")</x:f>
        <x:v>276.3945161290322</x:v>
      </x:c>
      <x:c r="F7" s="46" t="n">
        <x:f>IFERROR(SUMIFS('每日数据'!$F$2:$F$666,'每日数据'!$A$2:$A$666,"&gt;="&amp;$A7,'每日数据'!$A$2:$A$666,"&lt;"&amp;EDATE($A7,1))/COUNTIFS('每日数据'!$A$2:$A$666,"&gt;="&amp;$A7,'每日数据'!$A$2:$A$666,"&lt;"&amp;EDATE($A7,1),'每日数据'!$F$2:$F$666,"&lt;&gt;"),"")</x:f>
        <x:v>171.45032258064512</x:v>
      </x:c>
      <x:c r="G7" s="46" t="n">
        <x:f>IFERROR(SUMIFS('每日数据'!$G$2:$G$666,'每日数据'!$A$2:$A$666,"&gt;="&amp;$A7,'每日数据'!$A$2:$A$666,"&lt;"&amp;EDATE($A7,1))/COUNTIFS('每日数据'!$A$2:$A$666,"&gt;="&amp;$A7,'每日数据'!$A$2:$A$666,"&lt;"&amp;EDATE($A7,1),'每日数据'!$G$2:$G$666,"&lt;&gt;"),"")</x:f>
        <x:v>160.2796774193548</x:v>
      </x:c>
      <x:c r="H7" s="46" t="n">
        <x:f>B7-C7</x:f>
        <x:v>30.653548387096777</x:v>
      </x:c>
    </x:row>
    <x:row r="8">
      <x:c r="A8" s="52" t="d">
        <x:v>2025-04-01T00:00:00.000Z</x:v>
      </x:c>
      <x:c r="B8" s="46" t="n">
        <x:f>IFERROR(SUMIFS('每日数据'!$B$2:$B$666,'每日数据'!$A$2:$A$666,"&gt;="&amp;$A8,'每日数据'!$A$2:$A$666,"&lt;"&amp;EDATE($A8,1))/COUNTIFS('每日数据'!$A$2:$A$666,"&gt;="&amp;$A8,'每日数据'!$A$2:$A$666,"&lt;"&amp;EDATE($A8,1),'每日数据'!$B$2:$B$666,"&lt;&gt;"),"")</x:f>
        <x:v>220.40933333333334</x:v>
      </x:c>
      <x:c r="C8" s="46" t="n">
        <x:f>IFERROR(SUMIFS('每日数据'!$C$2:$C$666,'每日数据'!$A$2:$A$666,"&gt;="&amp;$A8,'每日数据'!$A$2:$A$666,"&lt;"&amp;EDATE($A8,1))/COUNTIFS('每日数据'!$A$2:$A$666,"&gt;="&amp;$A8,'每日数据'!$A$2:$A$666,"&lt;"&amp;EDATE($A8,1),'每日数据'!$C$2:$C$666,"&lt;&gt;"),"")</x:f>
        <x:v>227.9486666666667</x:v>
      </x:c>
      <x:c r="D8" s="46" t="n">
        <x:f>IFERROR(SUMIFS('每日数据'!$D$2:$D$666,'每日数据'!$A$2:$A$666,"&gt;="&amp;$A8,'每日数据'!$A$2:$A$666,"&lt;"&amp;EDATE($A8,1))/COUNTIFS('每日数据'!$A$2:$A$666,"&gt;="&amp;$A8,'每日数据'!$A$2:$A$666,"&lt;"&amp;EDATE($A8,1),'每日数据'!$D$2:$D$666,"&lt;&gt;"),"")</x:f>
        <x:v>262.6410000000001</x:v>
      </x:c>
      <x:c r="E8" s="46" t="n">
        <x:f>IFERROR(SUMIFS('每日数据'!$E$2:$E$666,'每日数据'!$A$2:$A$666,"&gt;="&amp;$A8,'每日数据'!$A$2:$A$666,"&lt;"&amp;EDATE($A8,1))/COUNTIFS('每日数据'!$A$2:$A$666,"&gt;="&amp;$A8,'每日数据'!$A$2:$A$666,"&lt;"&amp;EDATE($A8,1),'每日数据'!$E$2:$E$666,"&lt;&gt;"),"")</x:f>
        <x:v>269.39033333333333</x:v>
      </x:c>
      <x:c r="F8" s="46" t="n">
        <x:f>IFERROR(SUMIFS('每日数据'!$F$2:$F$666,'每日数据'!$A$2:$A$666,"&gt;="&amp;$A8,'每日数据'!$A$2:$A$666,"&lt;"&amp;EDATE($A8,1))/COUNTIFS('每日数据'!$A$2:$A$666,"&gt;="&amp;$A8,'每日数据'!$A$2:$A$666,"&lt;"&amp;EDATE($A8,1),'每日数据'!$F$2:$F$666,"&lt;&gt;"),"")</x:f>
        <x:v>123.596</x:v>
      </x:c>
      <x:c r="G8" s="46" t="n">
        <x:f>IFERROR(SUMIFS('每日数据'!$G$2:$G$666,'每日数据'!$A$2:$A$666,"&gt;="&amp;$A8,'每日数据'!$A$2:$A$666,"&lt;"&amp;EDATE($A8,1))/COUNTIFS('每日数据'!$A$2:$A$666,"&gt;="&amp;$A8,'每日数据'!$A$2:$A$666,"&lt;"&amp;EDATE($A8,1),'每日数据'!$G$2:$G$666,"&lt;&gt;"),"")</x:f>
        <x:v>131.11266666666668</x:v>
      </x:c>
      <x:c r="H8" s="46" t="n">
        <x:f>B8-C8</x:f>
        <x:v>-7.53933333333336</x:v>
      </x:c>
    </x:row>
    <x:row r="9">
      <x:c r="A9" s="52" t="d">
        <x:v>2025-05-01T00:00:00.000Z</x:v>
      </x:c>
      <x:c r="B9" s="46" t="n">
        <x:f>IFERROR(SUMIFS('每日数据'!$B$2:$B$666,'每日数据'!$A$2:$A$666,"&gt;="&amp;$A9,'每日数据'!$A$2:$A$666,"&lt;"&amp;EDATE($A9,1))/COUNTIFS('每日数据'!$A$2:$A$666,"&gt;="&amp;$A9,'每日数据'!$A$2:$A$666,"&lt;"&amp;EDATE($A9,1),'每日数据'!$B$2:$B$666,"&lt;&gt;"),"")</x:f>
        <x:v>216.26193548387099</x:v>
      </x:c>
      <x:c r="C9" s="46" t="n">
        <x:f>IFERROR(SUMIFS('每日数据'!$C$2:$C$666,'每日数据'!$A$2:$A$666,"&gt;="&amp;$A9,'每日数据'!$A$2:$A$666,"&lt;"&amp;EDATE($A9,1))/COUNTIFS('每日数据'!$A$2:$A$666,"&gt;="&amp;$A9,'每日数据'!$A$2:$A$666,"&lt;"&amp;EDATE($A9,1),'每日数据'!$C$2:$C$666,"&lt;&gt;"),"")</x:f>
        <x:v>213.6558064516129</x:v>
      </x:c>
      <x:c r="D9" s="46" t="n">
        <x:f>IFERROR(SUMIFS('每日数据'!$D$2:$D$666,'每日数据'!$A$2:$A$666,"&gt;="&amp;$A9,'每日数据'!$A$2:$A$666,"&lt;"&amp;EDATE($A9,1))/COUNTIFS('每日数据'!$A$2:$A$666,"&gt;="&amp;$A9,'每日数据'!$A$2:$A$666,"&lt;"&amp;EDATE($A9,1),'每日数据'!$D$2:$D$666,"&lt;&gt;"),"")</x:f>
        <x:v>249.0003225806452</x:v>
      </x:c>
      <x:c r="E9" s="46" t="n">
        <x:f>IFERROR(SUMIFS('每日数据'!$E$2:$E$666,'每日数据'!$A$2:$A$666,"&gt;="&amp;$A9,'每日数据'!$A$2:$A$666,"&lt;"&amp;EDATE($A9,1))/COUNTIFS('每日数据'!$A$2:$A$666,"&gt;="&amp;$A9,'每日数据'!$A$2:$A$666,"&lt;"&amp;EDATE($A9,1),'每日数据'!$E$2:$E$666,"&lt;&gt;"),"")</x:f>
        <x:v>244.5761290322581</x:v>
      </x:c>
      <x:c r="F9" s="46" t="n">
        <x:f>IFERROR(SUMIFS('每日数据'!$F$2:$F$666,'每日数据'!$A$2:$A$666,"&gt;="&amp;$A9,'每日数据'!$A$2:$A$666,"&lt;"&amp;EDATE($A9,1))/COUNTIFS('每日数据'!$A$2:$A$666,"&gt;="&amp;$A9,'每日数据'!$A$2:$A$666,"&lt;"&amp;EDATE($A9,1),'每日数据'!$F$2:$F$666,"&lt;&gt;"),"")</x:f>
        <x:v>131.72161290322578</x:v>
      </x:c>
      <x:c r="G9" s="46" t="n">
        <x:f>IFERROR(SUMIFS('每日数据'!$G$2:$G$666,'每日数据'!$A$2:$A$666,"&gt;="&amp;$A9,'每日数据'!$A$2:$A$666,"&lt;"&amp;EDATE($A9,1))/COUNTIFS('每日数据'!$A$2:$A$666,"&gt;="&amp;$A9,'每日数据'!$A$2:$A$666,"&lt;"&amp;EDATE($A9,1),'每日数据'!$G$2:$G$666,"&lt;&gt;"),"")</x:f>
        <x:v>132.73967741935485</x:v>
      </x:c>
      <x:c r="H9" s="46" t="n">
        <x:f>B9-C9</x:f>
        <x:v>2.6061290322580817</x:v>
      </x:c>
    </x:row>
    <x:row r="10">
      <x:c r="A10" s="52" t="d">
        <x:v>2025-06-01T00:00:00.000Z</x:v>
      </x:c>
      <x:c r="B10" s="46" t="n">
        <x:f>IFERROR(SUMIFS('每日数据'!$B$2:$B$666,'每日数据'!$A$2:$A$666,"&gt;="&amp;$A10,'每日数据'!$A$2:$A$666,"&lt;"&amp;EDATE($A10,1))/COUNTIFS('每日数据'!$A$2:$A$666,"&gt;="&amp;$A10,'每日数据'!$A$2:$A$666,"&lt;"&amp;EDATE($A10,1),'每日数据'!$B$2:$B$666,"&lt;&gt;"),"")</x:f>
        <x:v>237.06566666666671</x:v>
      </x:c>
      <x:c r="C10" s="46" t="n">
        <x:f>IFERROR(SUMIFS('每日数据'!$C$2:$C$666,'每日数据'!$A$2:$A$666,"&gt;="&amp;$A10,'每日数据'!$A$2:$A$666,"&lt;"&amp;EDATE($A10,1))/COUNTIFS('每日数据'!$A$2:$A$666,"&gt;="&amp;$A10,'每日数据'!$A$2:$A$666,"&lt;"&amp;EDATE($A10,1),'每日数据'!$C$2:$C$666,"&lt;&gt;"),"")</x:f>
        <x:v>242.62517241379314</x:v>
      </x:c>
      <x:c r="D10" s="46" t="n">
        <x:f>IFERROR(SUMIFS('每日数据'!$D$2:$D$666,'每日数据'!$A$2:$A$666,"&gt;="&amp;$A10,'每日数据'!$A$2:$A$666,"&lt;"&amp;EDATE($A10,1))/COUNTIFS('每日数据'!$A$2:$A$666,"&gt;="&amp;$A10,'每日数据'!$A$2:$A$666,"&lt;"&amp;EDATE($A10,1),'每日数据'!$D$2:$D$666,"&lt;&gt;"),"")</x:f>
        <x:v>267.17533333333336</x:v>
      </x:c>
      <x:c r="E10" s="46" t="n">
        <x:f>IFERROR(SUMIFS('每日数据'!$E$2:$E$666,'每日数据'!$A$2:$A$666,"&gt;="&amp;$A10,'每日数据'!$A$2:$A$666,"&lt;"&amp;EDATE($A10,1))/COUNTIFS('每日数据'!$A$2:$A$666,"&gt;="&amp;$A10,'每日数据'!$A$2:$A$666,"&lt;"&amp;EDATE($A10,1),'每日数据'!$E$2:$E$666,"&lt;&gt;"),"")</x:f>
        <x:v>266.20965517241376</x:v>
      </x:c>
      <x:c r="F10" s="46" t="n">
        <x:f>IFERROR(SUMIFS('每日数据'!$F$2:$F$666,'每日数据'!$A$2:$A$666,"&gt;="&amp;$A10,'每日数据'!$A$2:$A$666,"&lt;"&amp;EDATE($A10,1))/COUNTIFS('每日数据'!$A$2:$A$666,"&gt;="&amp;$A10,'每日数据'!$A$2:$A$666,"&lt;"&amp;EDATE($A10,1),'每日数据'!$F$2:$F$666,"&lt;&gt;"),"")</x:f>
        <x:v>134.40133333333333</x:v>
      </x:c>
      <x:c r="G10" s="46" t="n">
        <x:f>IFERROR(SUMIFS('每日数据'!$G$2:$G$666,'每日数据'!$A$2:$A$666,"&gt;="&amp;$A10,'每日数据'!$A$2:$A$666,"&lt;"&amp;EDATE($A10,1))/COUNTIFS('每日数据'!$A$2:$A$666,"&gt;="&amp;$A10,'每日数据'!$A$2:$A$666,"&lt;"&amp;EDATE($A10,1),'每日数据'!$G$2:$G$666,"&lt;&gt;"),"")</x:f>
        <x:v>155.09344827586207</x:v>
      </x:c>
      <x:c r="H10" s="46" t="n">
        <x:f>B10-C10</x:f>
        <x:v>-5.559505747126423</x:v>
      </x:c>
    </x:row>
    <x:row r="11">
      <x:c r="A11" s="52" t="d">
        <x:v>2025-07-01T00:00:00.000Z</x:v>
      </x:c>
      <x:c r="B11" s="46" t="n">
        <x:f>IFERROR(SUMIFS('每日数据'!$B$2:$B$666,'每日数据'!$A$2:$A$666,"&gt;="&amp;$A11,'每日数据'!$A$2:$A$666,"&lt;"&amp;EDATE($A11,1))/COUNTIFS('每日数据'!$A$2:$A$666,"&gt;="&amp;$A11,'每日数据'!$A$2:$A$666,"&lt;"&amp;EDATE($A11,1),'每日数据'!$B$2:$B$666,"&lt;&gt;"),"")</x:f>
        <x:v>251.60870967741943</x:v>
      </x:c>
      <x:c r="C11" s="46" t="n">
        <x:f>IFERROR(SUMIFS('每日数据'!$C$2:$C$666,'每日数据'!$A$2:$A$666,"&gt;="&amp;$A11,'每日数据'!$A$2:$A$666,"&lt;"&amp;EDATE($A11,1))/COUNTIFS('每日数据'!$A$2:$A$666,"&gt;="&amp;$A11,'每日数据'!$A$2:$A$666,"&lt;"&amp;EDATE($A11,1),'每日数据'!$C$2:$C$666,"&lt;&gt;"),"")</x:f>
        <x:v>255.76096774193545</x:v>
      </x:c>
      <x:c r="D11" s="46" t="n">
        <x:f>IFERROR(SUMIFS('每日数据'!$D$2:$D$666,'每日数据'!$A$2:$A$666,"&gt;="&amp;$A11,'每日数据'!$A$2:$A$666,"&lt;"&amp;EDATE($A11,1))/COUNTIFS('每日数据'!$A$2:$A$666,"&gt;="&amp;$A11,'每日数据'!$A$2:$A$666,"&lt;"&amp;EDATE($A11,1),'每日数据'!$D$2:$D$666,"&lt;&gt;"),"")</x:f>
        <x:v>281.05580645161297</x:v>
      </x:c>
      <x:c r="E11" s="46" t="n">
        <x:f>IFERROR(SUMIFS('每日数据'!$E$2:$E$666,'每日数据'!$A$2:$A$666,"&gt;="&amp;$A11,'每日数据'!$A$2:$A$666,"&lt;"&amp;EDATE($A11,1))/COUNTIFS('每日数据'!$A$2:$A$666,"&gt;="&amp;$A11,'每日数据'!$A$2:$A$666,"&lt;"&amp;EDATE($A11,1),'每日数据'!$E$2:$E$666,"&lt;&gt;"),"")</x:f>
        <x:v>279.63709677419354</x:v>
      </x:c>
      <x:c r="F11" s="46" t="n">
        <x:f>IFERROR(SUMIFS('每日数据'!$F$2:$F$666,'每日数据'!$A$2:$A$666,"&gt;="&amp;$A11,'每日数据'!$A$2:$A$666,"&lt;"&amp;EDATE($A11,1))/COUNTIFS('每日数据'!$A$2:$A$666,"&gt;="&amp;$A11,'每日数据'!$A$2:$A$666,"&lt;"&amp;EDATE($A11,1),'每日数据'!$F$2:$F$666,"&lt;&gt;"),"")</x:f>
        <x:v>136.8290322580645</x:v>
      </x:c>
      <x:c r="G11" s="46" t="n">
        <x:f>IFERROR(SUMIFS('每日数据'!$G$2:$G$666,'每日数据'!$A$2:$A$666,"&gt;="&amp;$A11,'每日数据'!$A$2:$A$666,"&lt;"&amp;EDATE($A11,1))/COUNTIFS('每日数据'!$A$2:$A$666,"&gt;="&amp;$A11,'每日数据'!$A$2:$A$666,"&lt;"&amp;EDATE($A11,1),'每日数据'!$G$2:$G$666,"&lt;&gt;"),"")</x:f>
        <x:v>157.16032258064516</x:v>
      </x:c>
      <x:c r="H11" s="46" t="n">
        <x:f>B11-C11</x:f>
        <x:v>-4.152258064516019</x:v>
      </x:c>
    </x:row>
    <x:row r="12">
      <x:c r="A12" s="52" t="d">
        <x:v>2025-08-01T00:00:00.000Z</x:v>
      </x:c>
      <x:c r="B12" s="46" t="n">
        <x:f>IFERROR(SUMIFS('每日数据'!$B$2:$B$666,'每日数据'!$A$2:$A$666,"&gt;="&amp;$A12,'每日数据'!$A$2:$A$666,"&lt;"&amp;EDATE($A12,1))/COUNTIFS('每日数据'!$A$2:$A$666,"&gt;="&amp;$A12,'每日数据'!$A$2:$A$666,"&lt;"&amp;EDATE($A12,1),'每日数据'!$B$2:$B$666,"&lt;&gt;"),"")</x:f>
        <x:v>298.37354838709683</x:v>
      </x:c>
      <x:c r="C12" s="46" t="n">
        <x:f>IFERROR(SUMIFS('每日数据'!$C$2:$C$666,'每日数据'!$A$2:$A$666,"&gt;="&amp;$A12,'每日数据'!$A$2:$A$666,"&lt;"&amp;EDATE($A12,1))/COUNTIFS('每日数据'!$A$2:$A$666,"&gt;="&amp;$A12,'每日数据'!$A$2:$A$666,"&lt;"&amp;EDATE($A12,1),'每日数据'!$C$2:$C$666,"&lt;&gt;"),"")</x:f>
        <x:v>295.5012903225807</x:v>
      </x:c>
      <x:c r="D12" s="46" t="n">
        <x:f>IFERROR(SUMIFS('每日数据'!$D$2:$D$666,'每日数据'!$A$2:$A$666,"&gt;="&amp;$A12,'每日数据'!$A$2:$A$666,"&lt;"&amp;EDATE($A12,1))/COUNTIFS('每日数据'!$A$2:$A$666,"&gt;="&amp;$A12,'每日数据'!$A$2:$A$666,"&lt;"&amp;EDATE($A12,1),'每日数据'!$D$2:$D$666,"&lt;&gt;"),"")</x:f>
        <x:v>332.4093548387097</x:v>
      </x:c>
      <x:c r="E12" s="46" t="n">
        <x:f>IFERROR(SUMIFS('每日数据'!$E$2:$E$666,'每日数据'!$A$2:$A$666,"&gt;="&amp;$A12,'每日数据'!$A$2:$A$666,"&lt;"&amp;EDATE($A12,1))/COUNTIFS('每日数据'!$A$2:$A$666,"&gt;="&amp;$A12,'每日数据'!$A$2:$A$666,"&lt;"&amp;EDATE($A12,1),'每日数据'!$E$2:$E$666,"&lt;&gt;"),"")</x:f>
        <x:v>323.1909677419355</x:v>
      </x:c>
      <x:c r="F12" s="46" t="n">
        <x:f>IFERROR(SUMIFS('每日数据'!$F$2:$F$666,'每日数据'!$A$2:$A$666,"&gt;="&amp;$A12,'每日数据'!$A$2:$A$666,"&lt;"&amp;EDATE($A12,1))/COUNTIFS('每日数据'!$A$2:$A$666,"&gt;="&amp;$A12,'每日数据'!$A$2:$A$666,"&lt;"&amp;EDATE($A12,1),'每日数据'!$F$2:$F$666,"&lt;&gt;"),"")</x:f>
        <x:v>151.3493548387097</x:v>
      </x:c>
      <x:c r="G12" s="46" t="n">
        <x:f>IFERROR(SUMIFS('每日数据'!$G$2:$G$666,'每日数据'!$A$2:$A$666,"&gt;="&amp;$A12,'每日数据'!$A$2:$A$666,"&lt;"&amp;EDATE($A12,1))/COUNTIFS('每日数据'!$A$2:$A$666,"&gt;="&amp;$A12,'每日数据'!$A$2:$A$666,"&lt;"&amp;EDATE($A12,1),'每日数据'!$G$2:$G$666,"&lt;&gt;"),"")</x:f>
        <x:v>169.80516129032256</x:v>
      </x:c>
      <x:c r="H12" s="46" t="n">
        <x:f>B12-C12</x:f>
        <x:v>2.8722580645161315</x:v>
      </x:c>
    </x:row>
    <x:row r="13">
      <x:c r="A13" s="52" t="d">
        <x:v>2025-09-01T00:00:00.000Z</x:v>
      </x:c>
      <x:c r="B13" s="46" t="n">
        <x:f>IFERROR(SUMIFS('每日数据'!$B$2:$B$666,'每日数据'!$A$2:$A$666,"&gt;="&amp;$A13,'每日数据'!$A$2:$A$666,"&lt;"&amp;EDATE($A13,1))/COUNTIFS('每日数据'!$A$2:$A$666,"&gt;="&amp;$A13,'每日数据'!$A$2:$A$666,"&lt;"&amp;EDATE($A13,1),'每日数据'!$B$2:$B$666,"&lt;&gt;"),"")</x:f>
        <x:v>144.22233333333335</x:v>
      </x:c>
      <x:c r="C13" s="46" t="n">
        <x:f>IFERROR(SUMIFS('每日数据'!$C$2:$C$666,'每日数据'!$A$2:$A$666,"&gt;="&amp;$A13,'每日数据'!$A$2:$A$666,"&lt;"&amp;EDATE($A13,1))/COUNTIFS('每日数据'!$A$2:$A$666,"&gt;="&amp;$A13,'每日数据'!$A$2:$A$666,"&lt;"&amp;EDATE($A13,1),'每日数据'!$C$2:$C$666,"&lt;&gt;"),"")</x:f>
        <x:v>200.23433333333338</x:v>
      </x:c>
      <x:c r="D13" s="46" t="n">
        <x:f>IFERROR(SUMIFS('每日数据'!$D$2:$D$666,'每日数据'!$A$2:$A$666,"&gt;="&amp;$A13,'每日数据'!$A$2:$A$666,"&lt;"&amp;EDATE($A13,1))/COUNTIFS('每日数据'!$A$2:$A$666,"&gt;="&amp;$A13,'每日数据'!$A$2:$A$666,"&lt;"&amp;EDATE($A13,1),'每日数据'!$D$2:$D$666,"&lt;&gt;"),"")</x:f>
        <x:v>164.3046666666666</x:v>
      </x:c>
      <x:c r="E13" s="46" t="n">
        <x:f>IFERROR(SUMIFS('每日数据'!$E$2:$E$666,'每日数据'!$A$2:$A$666,"&gt;="&amp;$A13,'每日数据'!$A$2:$A$666,"&lt;"&amp;EDATE($A13,1))/COUNTIFS('每日数据'!$A$2:$A$666,"&gt;="&amp;$A13,'每日数据'!$A$2:$A$666,"&lt;"&amp;EDATE($A13,1),'每日数据'!$E$2:$E$666,"&lt;&gt;"),"")</x:f>
        <x:v>218.50633333333334</x:v>
      </x:c>
      <x:c r="F13" s="46" t="n">
        <x:f>IFERROR(SUMIFS('每日数据'!$F$2:$F$666,'每日数据'!$A$2:$A$666,"&gt;="&amp;$A13,'每日数据'!$A$2:$A$666,"&lt;"&amp;EDATE($A13,1))/COUNTIFS('每日数据'!$A$2:$A$666,"&gt;="&amp;$A13,'每日数据'!$A$2:$A$666,"&lt;"&amp;EDATE($A13,1),'每日数据'!$F$2:$F$666,"&lt;&gt;"),"")</x:f>
        <x:v>95.92533333333337</x:v>
      </x:c>
      <x:c r="G13" s="46" t="n">
        <x:f>IFERROR(SUMIFS('每日数据'!$G$2:$G$666,'每日数据'!$A$2:$A$666,"&gt;="&amp;$A13,'每日数据'!$A$2:$A$666,"&lt;"&amp;EDATE($A13,1))/COUNTIFS('每日数据'!$A$2:$A$666,"&gt;="&amp;$A13,'每日数据'!$A$2:$A$666,"&lt;"&amp;EDATE($A13,1),'每日数据'!$G$2:$G$666,"&lt;&gt;"),"")</x:f>
        <x:v>152.36366666666666</x:v>
      </x:c>
      <x:c r="H13" s="46" t="n">
        <x:f>B13-C13</x:f>
        <x:v>-56.01200000000003</x:v>
      </x:c>
    </x:row>
    <x:row r="14">
      <x:c r="A14" s="52" t="d">
        <x:v>2025-10-01T00:00:00.000Z</x:v>
      </x:c>
      <x:c r="B14" s="46" t="n">
        <x:f>IFERROR(SUMIFS('每日数据'!$B$2:$B$666,'每日数据'!$A$2:$A$666,"&gt;="&amp;$A14,'每日数据'!$A$2:$A$666,"&lt;"&amp;EDATE($A14,1))/COUNTIFS('每日数据'!$A$2:$A$666,"&gt;="&amp;$A14,'每日数据'!$A$2:$A$666,"&lt;"&amp;EDATE($A14,1),'每日数据'!$B$2:$B$666,"&lt;&gt;"),"")</x:f>
        <x:v>257.27516129032256</x:v>
      </x:c>
      <x:c r="C14" s="46" t="n">
        <x:f>IFERROR(SUMIFS('每日数据'!$C$2:$C$666,'每日数据'!$A$2:$A$666,"&gt;="&amp;$A14,'每日数据'!$A$2:$A$666,"&lt;"&amp;EDATE($A14,1))/COUNTIFS('每日数据'!$A$2:$A$666,"&gt;="&amp;$A14,'每日数据'!$A$2:$A$666,"&lt;"&amp;EDATE($A14,1),'每日数据'!$C$2:$C$666,"&lt;&gt;"),"")</x:f>
        <x:v>319.4687096774194</x:v>
      </x:c>
      <x:c r="D14" s="46" t="n">
        <x:f>IFERROR(SUMIFS('每日数据'!$D$2:$D$666,'每日数据'!$A$2:$A$666,"&gt;="&amp;$A14,'每日数据'!$A$2:$A$666,"&lt;"&amp;EDATE($A14,1))/COUNTIFS('每日数据'!$A$2:$A$666,"&gt;="&amp;$A14,'每日数据'!$A$2:$A$666,"&lt;"&amp;EDATE($A14,1),'每日数据'!$D$2:$D$666,"&lt;&gt;"),"")</x:f>
        <x:v>279.0945161290323</x:v>
      </x:c>
      <x:c r="E14" s="46" t="n">
        <x:f>IFERROR(SUMIFS('每日数据'!$E$2:$E$666,'每日数据'!$A$2:$A$666,"&gt;="&amp;$A14,'每日数据'!$A$2:$A$666,"&lt;"&amp;EDATE($A14,1))/COUNTIFS('每日数据'!$A$2:$A$666,"&gt;="&amp;$A14,'每日数据'!$A$2:$A$666,"&lt;"&amp;EDATE($A14,1),'每日数据'!$E$2:$E$666,"&lt;&gt;"),"")</x:f>
        <x:v>340.140322580645</x:v>
      </x:c>
      <x:c r="F14" s="46" t="n">
        <x:f>IFERROR(SUMIFS('每日数据'!$F$2:$F$666,'每日数据'!$A$2:$A$666,"&gt;="&amp;$A14,'每日数据'!$A$2:$A$666,"&lt;"&amp;EDATE($A14,1))/COUNTIFS('每日数据'!$A$2:$A$666,"&gt;="&amp;$A14,'每日数据'!$A$2:$A$666,"&lt;"&amp;EDATE($A14,1),'每日数据'!$F$2:$F$666,"&lt;&gt;"),"")</x:f>
        <x:v>171.19580645161287</x:v>
      </x:c>
      <x:c r="G14" s="46" t="n">
        <x:f>IFERROR(SUMIFS('每日数据'!$G$2:$G$666,'每日数据'!$A$2:$A$666,"&gt;="&amp;$A14,'每日数据'!$A$2:$A$666,"&lt;"&amp;EDATE($A14,1))/COUNTIFS('每日数据'!$A$2:$A$666,"&gt;="&amp;$A14,'每日数据'!$A$2:$A$666,"&lt;"&amp;EDATE($A14,1),'每日数据'!$G$2:$G$666,"&lt;&gt;"),"")</x:f>
        <x:v>228.87322580645167</x:v>
      </x:c>
      <x:c r="H14" s="46" t="n">
        <x:f>B14-C14</x:f>
        <x:v>-62.193548387096826</x:v>
      </x:c>
    </x:row>
    <x:row r="15">
      <x:c r="A15" s="52" t="d">
        <x:v>2025-11-01T00:00:00.000Z</x:v>
      </x:c>
      <x:c r="B15" s="46" t="n">
        <x:f>IFERROR(SUMIFS('每日数据'!$B$2:$B$666,'每日数据'!$A$2:$A$666,"&gt;="&amp;$A15,'每日数据'!$A$2:$A$666,"&lt;"&amp;EDATE($A15,1))/COUNTIFS('每日数据'!$A$2:$A$666,"&gt;="&amp;$A15,'每日数据'!$A$2:$A$666,"&lt;"&amp;EDATE($A15,1),'每日数据'!$B$2:$B$666,"&lt;&gt;"),"")</x:f>
        <x:v>187.08299999999994</x:v>
      </x:c>
      <x:c r="C15" s="46" t="n">
        <x:f>IFERROR(SUMIFS('每日数据'!$C$2:$C$666,'每日数据'!$A$2:$A$666,"&gt;="&amp;$A15,'每日数据'!$A$2:$A$666,"&lt;"&amp;EDATE($A15,1))/COUNTIFS('每日数据'!$A$2:$A$666,"&gt;="&amp;$A15,'每日数据'!$A$2:$A$666,"&lt;"&amp;EDATE($A15,1),'每日数据'!$C$2:$C$666,"&lt;&gt;"),"")</x:f>
        <x:v>208.76566666666668</x:v>
      </x:c>
      <x:c r="D15" s="46" t="n">
        <x:f>IFERROR(SUMIFS('每日数据'!$D$2:$D$666,'每日数据'!$A$2:$A$666,"&gt;="&amp;$A15,'每日数据'!$A$2:$A$666,"&lt;"&amp;EDATE($A15,1))/COUNTIFS('每日数据'!$A$2:$A$666,"&gt;="&amp;$A15,'每日数据'!$A$2:$A$666,"&lt;"&amp;EDATE($A15,1),'每日数据'!$D$2:$D$666,"&lt;&gt;"),"")</x:f>
        <x:v>208.34633333333332</x:v>
      </x:c>
      <x:c r="E15" s="46" t="n">
        <x:f>IFERROR(SUMIFS('每日数据'!$E$2:$E$666,'每日数据'!$A$2:$A$666,"&gt;="&amp;$A15,'每日数据'!$A$2:$A$666,"&lt;"&amp;EDATE($A15,1))/COUNTIFS('每日数据'!$A$2:$A$666,"&gt;="&amp;$A15,'每日数据'!$A$2:$A$666,"&lt;"&amp;EDATE($A15,1),'每日数据'!$E$2:$E$666,"&lt;&gt;"),"")</x:f>
        <x:v>231.30599999999998</x:v>
      </x:c>
      <x:c r="F15" s="46" t="n">
        <x:f>IFERROR(SUMIFS('每日数据'!$F$2:$F$666,'每日数据'!$A$2:$A$666,"&gt;="&amp;$A15,'每日数据'!$A$2:$A$666,"&lt;"&amp;EDATE($A15,1))/COUNTIFS('每日数据'!$A$2:$A$666,"&gt;="&amp;$A15,'每日数据'!$A$2:$A$666,"&lt;"&amp;EDATE($A15,1),'每日数据'!$F$2:$F$666,"&lt;&gt;"),"")</x:f>
        <x:v>103.11566666666664</x:v>
      </x:c>
      <x:c r="G15" s="46" t="n">
        <x:f>IFERROR(SUMIFS('每日数据'!$G$2:$G$666,'每日数据'!$A$2:$A$666,"&gt;="&amp;$A15,'每日数据'!$A$2:$A$666,"&lt;"&amp;EDATE($A15,1))/COUNTIFS('每日数据'!$A$2:$A$666,"&gt;="&amp;$A15,'每日数据'!$A$2:$A$666,"&lt;"&amp;EDATE($A15,1),'每日数据'!$G$2:$G$666,"&lt;&gt;"),"")</x:f>
        <x:v>115.58999999999999</x:v>
      </x:c>
      <x:c r="H15" s="46" t="n">
        <x:f>B15-C15</x:f>
        <x:v>-21.682666666666734</x:v>
      </x:c>
    </x:row>
    <x:row r="16">
      <x:c r="A16" s="52" t="d">
        <x:v>2025-12-01T00:00:00.000Z</x:v>
      </x:c>
      <x:c r="B16" s="46" t="n">
        <x:f>IFERROR(SUMIFS('每日数据'!$B$2:$B$666,'每日数据'!$A$2:$A$666,"&gt;="&amp;$A16,'每日数据'!$A$2:$A$666,"&lt;"&amp;EDATE($A16,1))/COUNTIFS('每日数据'!$A$2:$A$666,"&gt;="&amp;$A16,'每日数据'!$A$2:$A$666,"&lt;"&amp;EDATE($A16,1),'每日数据'!$B$2:$B$666,"&lt;&gt;"),"")</x:f>
        <x:v>271.9325806451613</x:v>
      </x:c>
      <x:c r="C16" s="46" t="n">
        <x:f>IFERROR(SUMIFS('每日数据'!$C$2:$C$666,'每日数据'!$A$2:$A$666,"&gt;="&amp;$A16,'每日数据'!$A$2:$A$666,"&lt;"&amp;EDATE($A16,1))/COUNTIFS('每日数据'!$A$2:$A$666,"&gt;="&amp;$A16,'每日数据'!$A$2:$A$666,"&lt;"&amp;EDATE($A16,1),'每日数据'!$C$2:$C$666,"&lt;&gt;"),"")</x:f>
        <x:v>273.27806451612906</x:v>
      </x:c>
      <x:c r="D16" s="46" t="n">
        <x:f>IFERROR(SUMIFS('每日数据'!$D$2:$D$666,'每日数据'!$A$2:$A$666,"&gt;="&amp;$A16,'每日数据'!$A$2:$A$666,"&lt;"&amp;EDATE($A16,1))/COUNTIFS('每日数据'!$A$2:$A$666,"&gt;="&amp;$A16,'每日数据'!$A$2:$A$666,"&lt;"&amp;EDATE($A16,1),'每日数据'!$D$2:$D$666,"&lt;&gt;"),"")</x:f>
        <x:v>299.0351612903226</x:v>
      </x:c>
      <x:c r="E16" s="46" t="n">
        <x:f>IFERROR(SUMIFS('每日数据'!$E$2:$E$666,'每日数据'!$A$2:$A$666,"&gt;="&amp;$A16,'每日数据'!$A$2:$A$666,"&lt;"&amp;EDATE($A16,1))/COUNTIFS('每日数据'!$A$2:$A$666,"&gt;="&amp;$A16,'每日数据'!$A$2:$A$666,"&lt;"&amp;EDATE($A16,1),'每日数据'!$E$2:$E$666,"&lt;&gt;"),"")</x:f>
        <x:v>299.65322580645164</x:v>
      </x:c>
      <x:c r="F16" s="46" t="n">
        <x:f>IFERROR(SUMIFS('每日数据'!$F$2:$F$666,'每日数据'!$A$2:$A$666,"&gt;="&amp;$A16,'每日数据'!$A$2:$A$666,"&lt;"&amp;EDATE($A16,1))/COUNTIFS('每日数据'!$A$2:$A$666,"&gt;="&amp;$A16,'每日数据'!$A$2:$A$666,"&lt;"&amp;EDATE($A16,1),'每日数据'!$F$2:$F$666,"&lt;&gt;"),"")</x:f>
        <x:v>140.0470967741936</x:v>
      </x:c>
      <x:c r="G16" s="46" t="n">
        <x:f>IFERROR(SUMIFS('每日数据'!$G$2:$G$666,'每日数据'!$A$2:$A$666,"&gt;="&amp;$A16,'每日数据'!$A$2:$A$666,"&lt;"&amp;EDATE($A16,1))/COUNTIFS('每日数据'!$A$2:$A$666,"&gt;="&amp;$A16,'每日数据'!$A$2:$A$666,"&lt;"&amp;EDATE($A16,1),'每日数据'!$G$2:$G$666,"&lt;&gt;"),"")</x:f>
        <x:v>139.21290322580646</x:v>
      </x:c>
      <x:c r="H16" s="46" t="n">
        <x:f>B16-C16</x:f>
        <x:v>-1.3454838709677688</x:v>
      </x:c>
    </x:row>
    <x:row r="17">
      <x:c r="A17" s="52" t="d">
        <x:v>2026-01-01T00:00:00.000Z</x:v>
      </x:c>
      <x:c r="B17" s="46" t="n">
        <x:f>IFERROR(SUMIFS('每日数据'!$B$2:$B$666,'每日数据'!$A$2:$A$666,"&gt;="&amp;$A17,'每日数据'!$A$2:$A$666,"&lt;"&amp;EDATE($A17,1))/COUNTIFS('每日数据'!$A$2:$A$666,"&gt;="&amp;$A17,'每日数据'!$A$2:$A$666,"&lt;"&amp;EDATE($A17,1),'每日数据'!$B$2:$B$666,"&lt;&gt;"),"")</x:f>
        <x:v>279.0032258064516</x:v>
      </x:c>
      <x:c r="C17" s="46" t="n">
        <x:f>IFERROR(SUMIFS('每日数据'!$C$2:$C$666,'每日数据'!$A$2:$A$666,"&gt;="&amp;$A17,'每日数据'!$A$2:$A$666,"&lt;"&amp;EDATE($A17,1))/COUNTIFS('每日数据'!$A$2:$A$666,"&gt;="&amp;$A17,'每日数据'!$A$2:$A$666,"&lt;"&amp;EDATE($A17,1),'每日数据'!$C$2:$C$666,"&lt;&gt;"),"")</x:f>
        <x:v>271.9425806451613</x:v>
      </x:c>
      <x:c r="D17" s="46" t="n">
        <x:f>IFERROR(SUMIFS('每日数据'!$D$2:$D$666,'每日数据'!$A$2:$A$666,"&gt;="&amp;$A17,'每日数据'!$A$2:$A$666,"&lt;"&amp;EDATE($A17,1))/COUNTIFS('每日数据'!$A$2:$A$666,"&gt;="&amp;$A17,'每日数据'!$A$2:$A$666,"&lt;"&amp;EDATE($A17,1),'每日数据'!$D$2:$D$666,"&lt;&gt;"),"")</x:f>
        <x:v>300.0367741935484</x:v>
      </x:c>
      <x:c r="E17" s="46" t="n">
        <x:f>IFERROR(SUMIFS('每日数据'!$E$2:$E$666,'每日数据'!$A$2:$A$666,"&gt;="&amp;$A17,'每日数据'!$A$2:$A$666,"&lt;"&amp;EDATE($A17,1))/COUNTIFS('每日数据'!$A$2:$A$666,"&gt;="&amp;$A17,'每日数据'!$A$2:$A$666,"&lt;"&amp;EDATE($A17,1),'每日数据'!$E$2:$E$666,"&lt;&gt;"),"")</x:f>
        <x:v>289.38000000000005</x:v>
      </x:c>
      <x:c r="F17" s="46" t="n">
        <x:f>IFERROR(SUMIFS('每日数据'!$F$2:$F$666,'每日数据'!$A$2:$A$666,"&gt;="&amp;$A17,'每日数据'!$A$2:$A$666,"&lt;"&amp;EDATE($A17,1))/COUNTIFS('每日数据'!$A$2:$A$666,"&gt;="&amp;$A17,'每日数据'!$A$2:$A$666,"&lt;"&amp;EDATE($A17,1),'每日数据'!$F$2:$F$666,"&lt;&gt;"),"")</x:f>
        <x:v>180.67709677419356</x:v>
      </x:c>
      <x:c r="G17" s="46" t="n">
        <x:f>IFERROR(SUMIFS('每日数据'!$G$2:$G$666,'每日数据'!$A$2:$A$666,"&gt;="&amp;$A17,'每日数据'!$A$2:$A$666,"&lt;"&amp;EDATE($A17,1))/COUNTIFS('每日数据'!$A$2:$A$666,"&gt;="&amp;$A17,'每日数据'!$A$2:$A$666,"&lt;"&amp;EDATE($A17,1),'每日数据'!$G$2:$G$666,"&lt;&gt;"),"")</x:f>
        <x:v>186.3467741935484</x:v>
      </x:c>
      <x:c r="H17" s="46" t="n">
        <x:f>B17-C17</x:f>
        <x:v>7.060645161290324</x:v>
      </x:c>
    </x:row>
    <x:row r="18">
      <x:c r="A18" s="52" t="d">
        <x:v>2026-02-01T00:00:00.000Z</x:v>
      </x:c>
      <x:c r="B18" s="46" t="n">
        <x:f>IFERROR(SUMIFS('每日数据'!$B$2:$B$666,'每日数据'!$A$2:$A$666,"&gt;="&amp;$A18,'每日数据'!$A$2:$A$666,"&lt;"&amp;EDATE($A18,1))/COUNTIFS('每日数据'!$A$2:$A$666,"&gt;="&amp;$A18,'每日数据'!$A$2:$A$666,"&lt;"&amp;EDATE($A18,1),'每日数据'!$B$2:$B$666,"&lt;&gt;"),"")</x:f>
        <x:v>208.5582142857143</x:v>
      </x:c>
      <x:c r="C18" s="46" t="n">
        <x:f>IFERROR(SUMIFS('每日数据'!$C$2:$C$666,'每日数据'!$A$2:$A$666,"&gt;="&amp;$A18,'每日数据'!$A$2:$A$666,"&lt;"&amp;EDATE($A18,1))/COUNTIFS('每日数据'!$A$2:$A$666,"&gt;="&amp;$A18,'每日数据'!$A$2:$A$666,"&lt;"&amp;EDATE($A18,1),'每日数据'!$C$2:$C$666,"&lt;&gt;"),"")</x:f>
        <x:v>199.73857142857145</x:v>
      </x:c>
      <x:c r="D18" s="46" t="n">
        <x:f>IFERROR(SUMIFS('每日数据'!$D$2:$D$666,'每日数据'!$A$2:$A$666,"&gt;="&amp;$A18,'每日数据'!$A$2:$A$666,"&lt;"&amp;EDATE($A18,1))/COUNTIFS('每日数据'!$A$2:$A$666,"&gt;="&amp;$A18,'每日数据'!$A$2:$A$666,"&lt;"&amp;EDATE($A18,1),'每日数据'!$D$2:$D$666,"&lt;&gt;"),"")</x:f>
        <x:v>238.7057142857143</x:v>
      </x:c>
      <x:c r="E18" s="46" t="n">
        <x:f>IFERROR(SUMIFS('每日数据'!$E$2:$E$666,'每日数据'!$A$2:$A$666,"&gt;="&amp;$A18,'每日数据'!$A$2:$A$666,"&lt;"&amp;EDATE($A18,1))/COUNTIFS('每日数据'!$A$2:$A$666,"&gt;="&amp;$A18,'每日数据'!$A$2:$A$666,"&lt;"&amp;EDATE($A18,1),'每日数据'!$E$2:$E$666,"&lt;&gt;"),"")</x:f>
        <x:v>225.0778571428571</x:v>
      </x:c>
      <x:c r="F18" s="46" t="n">
        <x:f>IFERROR(SUMIFS('每日数据'!$F$2:$F$666,'每日数据'!$A$2:$A$666,"&gt;="&amp;$A18,'每日数据'!$A$2:$A$666,"&lt;"&amp;EDATE($A18,1))/COUNTIFS('每日数据'!$A$2:$A$666,"&gt;="&amp;$A18,'每日数据'!$A$2:$A$666,"&lt;"&amp;EDATE($A18,1),'每日数据'!$F$2:$F$666,"&lt;&gt;"),"")</x:f>
        <x:v>98.31035714285713</x:v>
      </x:c>
      <x:c r="G18" s="46" t="n">
        <x:f>IFERROR(SUMIFS('每日数据'!$G$2:$G$666,'每日数据'!$A$2:$A$666,"&gt;="&amp;$A18,'每日数据'!$A$2:$A$666,"&lt;"&amp;EDATE($A18,1))/COUNTIFS('每日数据'!$A$2:$A$666,"&gt;="&amp;$A18,'每日数据'!$A$2:$A$666,"&lt;"&amp;EDATE($A18,1),'每日数据'!$G$2:$G$666,"&lt;&gt;"),"")</x:f>
        <x:v>103.44857142857143</x:v>
      </x:c>
      <x:c r="H18" s="46" t="n">
        <x:f>B18-C18</x:f>
        <x:v>8.819642857142867</x:v>
      </x:c>
    </x:row>
    <x:row r="19">
      <x:c r="A19" s="52" t="d">
        <x:v>2026-03-01T00:00:00.000Z</x:v>
      </x:c>
      <x:c r="B19" s="46" t="n">
        <x:f>IFERROR(SUMIFS('每日数据'!$B$2:$B$666,'每日数据'!$A$2:$A$666,"&gt;="&amp;$A19,'每日数据'!$A$2:$A$666,"&lt;"&amp;EDATE($A19,1))/COUNTIFS('每日数据'!$A$2:$A$666,"&gt;="&amp;$A19,'每日数据'!$A$2:$A$666,"&lt;"&amp;EDATE($A19,1),'每日数据'!$B$2:$B$666,"&lt;&gt;"),"")</x:f>
        <x:v>214.751935483871</x:v>
      </x:c>
      <x:c r="C19" s="46" t="n">
        <x:f>IFERROR(SUMIFS('每日数据'!$C$2:$C$666,'每日数据'!$A$2:$A$666,"&gt;="&amp;$A19,'每日数据'!$A$2:$A$666,"&lt;"&amp;EDATE($A19,1))/COUNTIFS('每日数据'!$A$2:$A$666,"&gt;="&amp;$A19,'每日数据'!$A$2:$A$666,"&lt;"&amp;EDATE($A19,1),'每日数据'!$C$2:$C$666,"&lt;&gt;"),"")</x:f>
        <x:v>210.5164516129032</x:v>
      </x:c>
      <x:c r="D19" s="46" t="n">
        <x:f>IFERROR(SUMIFS('每日数据'!$D$2:$D$666,'每日数据'!$A$2:$A$666,"&gt;="&amp;$A19,'每日数据'!$A$2:$A$666,"&lt;"&amp;EDATE($A19,1))/COUNTIFS('每日数据'!$A$2:$A$666,"&gt;="&amp;$A19,'每日数据'!$A$2:$A$666,"&lt;"&amp;EDATE($A19,1),'每日数据'!$D$2:$D$666,"&lt;&gt;"),"")</x:f>
        <x:v>245.5132258064516</x:v>
      </x:c>
      <x:c r="E19" s="46" t="n">
        <x:f>IFERROR(SUMIFS('每日数据'!$E$2:$E$666,'每日数据'!$A$2:$A$666,"&gt;="&amp;$A19,'每日数据'!$A$2:$A$666,"&lt;"&amp;EDATE($A19,1))/COUNTIFS('每日数据'!$A$2:$A$666,"&gt;="&amp;$A19,'每日数据'!$A$2:$A$666,"&lt;"&amp;EDATE($A19,1),'每日数据'!$E$2:$E$666,"&lt;&gt;"),"")</x:f>
        <x:v>237.59838709677413</x:v>
      </x:c>
      <x:c r="F19" s="46" t="n">
        <x:f>IFERROR(SUMIFS('每日数据'!$F$2:$F$666,'每日数据'!$A$2:$A$666,"&gt;="&amp;$A19,'每日数据'!$A$2:$A$666,"&lt;"&amp;EDATE($A19,1))/COUNTIFS('每日数据'!$A$2:$A$666,"&gt;="&amp;$A19,'每日数据'!$A$2:$A$666,"&lt;"&amp;EDATE($A19,1),'每日数据'!$F$2:$F$666,"&lt;&gt;"),"")</x:f>
        <x:v>123.60064516129032</x:v>
      </x:c>
      <x:c r="G19" s="46" t="n">
        <x:f>IFERROR(SUMIFS('每日数据'!$G$2:$G$666,'每日数据'!$A$2:$A$666,"&gt;="&amp;$A19,'每日数据'!$A$2:$A$666,"&lt;"&amp;EDATE($A19,1))/COUNTIFS('每日数据'!$A$2:$A$666,"&gt;="&amp;$A19,'每日数据'!$A$2:$A$666,"&lt;"&amp;EDATE($A19,1),'每日数据'!$G$2:$G$666,"&lt;&gt;"),"")</x:f>
        <x:v>129.11387096774195</x:v>
      </x:c>
      <x:c r="H19" s="46" t="n">
        <x:f>B19-C19</x:f>
        <x:v>4.235483870967784</x:v>
      </x:c>
    </x:row>
    <x:row r="20">
      <x:c r="A20" s="52" t="d">
        <x:v>2026-04-01T00:00:00.000Z</x:v>
      </x:c>
      <x:c r="B20" s="46" t="n">
        <x:f>IFERROR(SUMIFS('每日数据'!$B$2:$B$666,'每日数据'!$A$2:$A$666,"&gt;="&amp;$A20,'每日数据'!$A$2:$A$666,"&lt;"&amp;EDATE($A20,1))/COUNTIFS('每日数据'!$A$2:$A$666,"&gt;="&amp;$A20,'每日数据'!$A$2:$A$666,"&lt;"&amp;EDATE($A20,1),'每日数据'!$B$2:$B$666,"&lt;&gt;"),"")</x:f>
        <x:v>159.10166666666666</x:v>
      </x:c>
      <x:c r="C20" s="46" t="n">
        <x:f>IFERROR(SUMIFS('每日数据'!$C$2:$C$666,'每日数据'!$A$2:$A$666,"&gt;="&amp;$A20,'每日数据'!$A$2:$A$666,"&lt;"&amp;EDATE($A20,1))/COUNTIFS('每日数据'!$A$2:$A$666,"&gt;="&amp;$A20,'每日数据'!$A$2:$A$666,"&lt;"&amp;EDATE($A20,1),'每日数据'!$C$2:$C$666,"&lt;&gt;"),"")</x:f>
        <x:v>159.5346666666667</x:v>
      </x:c>
      <x:c r="D20" s="46" t="n">
        <x:f>IFERROR(SUMIFS('每日数据'!$D$2:$D$666,'每日数据'!$A$2:$A$666,"&gt;="&amp;$A20,'每日数据'!$A$2:$A$666,"&lt;"&amp;EDATE($A20,1))/COUNTIFS('每日数据'!$A$2:$A$666,"&gt;="&amp;$A20,'每日数据'!$A$2:$A$666,"&lt;"&amp;EDATE($A20,1),'每日数据'!$D$2:$D$666,"&lt;&gt;"),"")</x:f>
        <x:v>204.07900000000004</x:v>
      </x:c>
      <x:c r="E20" s="46" t="n">
        <x:f>IFERROR(SUMIFS('每日数据'!$E$2:$E$666,'每日数据'!$A$2:$A$666,"&gt;="&amp;$A20,'每日数据'!$A$2:$A$666,"&lt;"&amp;EDATE($A20,1))/COUNTIFS('每日数据'!$A$2:$A$666,"&gt;="&amp;$A20,'每日数据'!$A$2:$A$666,"&lt;"&amp;EDATE($A20,1),'每日数据'!$E$2:$E$666,"&lt;&gt;"),"")</x:f>
        <x:v>199.92633333333336</x:v>
      </x:c>
      <x:c r="F20" s="46" t="n">
        <x:f>IFERROR(SUMIFS('每日数据'!$F$2:$F$666,'每日数据'!$A$2:$A$666,"&gt;="&amp;$A20,'每日数据'!$A$2:$A$666,"&lt;"&amp;EDATE($A20,1))/COUNTIFS('每日数据'!$A$2:$A$666,"&gt;="&amp;$A20,'每日数据'!$A$2:$A$666,"&lt;"&amp;EDATE($A20,1),'每日数据'!$F$2:$F$666,"&lt;&gt;"),"")</x:f>
        <x:v>77.90900000000002</x:v>
      </x:c>
      <x:c r="G20" s="46" t="n">
        <x:f>IFERROR(SUMIFS('每日数据'!$G$2:$G$666,'每日数据'!$A$2:$A$666,"&gt;="&amp;$A20,'每日数据'!$A$2:$A$666,"&lt;"&amp;EDATE($A20,1))/COUNTIFS('每日数据'!$A$2:$A$666,"&gt;="&amp;$A20,'每日数据'!$A$2:$A$666,"&lt;"&amp;EDATE($A20,1),'每日数据'!$G$2:$G$666,"&lt;&gt;"),"")</x:f>
        <x:v>85.97333333333333</x:v>
      </x:c>
      <x:c r="H20" s="46" t="n">
        <x:f>B20-C20</x:f>
        <x:v>-0.43300000000004957</x:v>
      </x:c>
    </x:row>
    <x:row r="21">
      <x:c r="A21" s="52" t="d">
        <x:v>2026-05-01T00:00:00.000Z</x:v>
      </x:c>
      <x:c r="B21" s="46" t="n">
        <x:f>IFERROR(SUMIFS('每日数据'!$B$2:$B$666,'每日数据'!$A$2:$A$666,"&gt;="&amp;$A21,'每日数据'!$A$2:$A$666,"&lt;"&amp;EDATE($A21,1))/COUNTIFS('每日数据'!$A$2:$A$666,"&gt;="&amp;$A21,'每日数据'!$A$2:$A$666,"&lt;"&amp;EDATE($A21,1),'每日数据'!$B$2:$B$666,"&lt;&gt;"),"")</x:f>
        <x:v>143.0783870967742</x:v>
      </x:c>
      <x:c r="C21" s="46" t="n">
        <x:f>IFERROR(SUMIFS('每日数据'!$C$2:$C$666,'每日数据'!$A$2:$A$666,"&gt;="&amp;$A21,'每日数据'!$A$2:$A$666,"&lt;"&amp;EDATE($A21,1))/COUNTIFS('每日数据'!$A$2:$A$666,"&gt;="&amp;$A21,'每日数据'!$A$2:$A$666,"&lt;"&amp;EDATE($A21,1),'每日数据'!$C$2:$C$666,"&lt;&gt;"),"")</x:f>
        <x:v>149.3541935483871</x:v>
      </x:c>
      <x:c r="D21" s="46" t="n">
        <x:f>IFERROR(SUMIFS('每日数据'!$D$2:$D$666,'每日数据'!$A$2:$A$666,"&gt;="&amp;$A21,'每日数据'!$A$2:$A$666,"&lt;"&amp;EDATE($A21,1))/COUNTIFS('每日数据'!$A$2:$A$666,"&gt;="&amp;$A21,'每日数据'!$A$2:$A$666,"&lt;"&amp;EDATE($A21,1),'每日数据'!$D$2:$D$666,"&lt;&gt;"),"")</x:f>
        <x:v>175.76451612903227</x:v>
      </x:c>
      <x:c r="E21" s="46" t="n">
        <x:f>IFERROR(SUMIFS('每日数据'!$E$2:$E$666,'每日数据'!$A$2:$A$666,"&gt;="&amp;$A21,'每日数据'!$A$2:$A$666,"&lt;"&amp;EDATE($A21,1))/COUNTIFS('每日数据'!$A$2:$A$666,"&gt;="&amp;$A21,'每日数据'!$A$2:$A$666,"&lt;"&amp;EDATE($A21,1),'每日数据'!$E$2:$E$666,"&lt;&gt;"),"")</x:f>
        <x:v>185.0235483870968</x:v>
      </x:c>
      <x:c r="F21" s="46" t="n">
        <x:f>IFERROR(SUMIFS('每日数据'!$F$2:$F$666,'每日数据'!$A$2:$A$666,"&gt;="&amp;$A21,'每日数据'!$A$2:$A$666,"&lt;"&amp;EDATE($A21,1))/COUNTIFS('每日数据'!$A$2:$A$666,"&gt;="&amp;$A21,'每日数据'!$A$2:$A$666,"&lt;"&amp;EDATE($A21,1),'每日数据'!$F$2:$F$666,"&lt;&gt;"),"")</x:f>
        <x:v>72.17032258064515</x:v>
      </x:c>
      <x:c r="G21" s="46" t="n">
        <x:f>IFERROR(SUMIFS('每日数据'!$G$2:$G$666,'每日数据'!$A$2:$A$666,"&gt;="&amp;$A21,'每日数据'!$A$2:$A$666,"&lt;"&amp;EDATE($A21,1))/COUNTIFS('每日数据'!$A$2:$A$666,"&gt;="&amp;$A21,'每日数据'!$A$2:$A$666,"&lt;"&amp;EDATE($A21,1),'每日数据'!$G$2:$G$666,"&lt;&gt;"),"")</x:f>
        <x:v>72.60258064516127</x:v>
      </x:c>
      <x:c r="H21" s="46" t="n">
        <x:f>B21-C21</x:f>
        <x:v>-6.27580645161288</x:v>
      </x:c>
    </x:row>
    <x:row r="22">
      <x:c r="A22" s="52" t="d">
        <x:v>2026-06-01T00:00:00.000Z</x:v>
      </x:c>
      <x:c r="B22" s="46" t="n">
        <x:f>IFERROR(SUMIFS('每日数据'!$B$2:$B$666,'每日数据'!$A$2:$A$666,"&gt;="&amp;$A22,'每日数据'!$A$2:$A$666,"&lt;"&amp;EDATE($A22,1))/COUNTIFS('每日数据'!$A$2:$A$666,"&gt;="&amp;$A22,'每日数据'!$A$2:$A$666,"&lt;"&amp;EDATE($A22,1),'每日数据'!$B$2:$B$666,"&lt;&gt;"),"")</x:f>
        <x:v>178.90266666666665</x:v>
      </x:c>
      <x:c r="C22" s="46" t="n">
        <x:f>IFERROR(SUMIFS('每日数据'!$C$2:$C$666,'每日数据'!$A$2:$A$666,"&gt;="&amp;$A22,'每日数据'!$A$2:$A$666,"&lt;"&amp;EDATE($A22,1))/COUNTIFS('每日数据'!$A$2:$A$666,"&gt;="&amp;$A22,'每日数据'!$A$2:$A$666,"&lt;"&amp;EDATE($A22,1),'每日数据'!$C$2:$C$666,"&lt;&gt;"),"")</x:f>
        <x:v>174.07900000000006</x:v>
      </x:c>
      <x:c r="D22" s="46" t="n">
        <x:f>IFERROR(SUMIFS('每日数据'!$D$2:$D$666,'每日数据'!$A$2:$A$666,"&gt;="&amp;$A22,'每日数据'!$A$2:$A$666,"&lt;"&amp;EDATE($A22,1))/COUNTIFS('每日数据'!$A$2:$A$666,"&gt;="&amp;$A22,'每日数据'!$A$2:$A$666,"&lt;"&amp;EDATE($A22,1),'每日数据'!$D$2:$D$666,"&lt;&gt;"),"")</x:f>
        <x:v>216.8056666666667</x:v>
      </x:c>
      <x:c r="E22" s="46" t="n">
        <x:f>IFERROR(SUMIFS('每日数据'!$E$2:$E$666,'每日数据'!$A$2:$A$666,"&gt;="&amp;$A22,'每日数据'!$A$2:$A$666,"&lt;"&amp;EDATE($A22,1))/COUNTIFS('每日数据'!$A$2:$A$666,"&gt;="&amp;$A22,'每日数据'!$A$2:$A$666,"&lt;"&amp;EDATE($A22,1),'每日数据'!$E$2:$E$666,"&lt;&gt;"),"")</x:f>
        <x:v>211.91700000000003</x:v>
      </x:c>
      <x:c r="F22" s="46" t="n">
        <x:f>IFERROR(SUMIFS('每日数据'!$F$2:$F$666,'每日数据'!$A$2:$A$666,"&gt;="&amp;$A22,'每日数据'!$A$2:$A$666,"&lt;"&amp;EDATE($A22,1))/COUNTIFS('每日数据'!$A$2:$A$666,"&gt;="&amp;$A22,'每日数据'!$A$2:$A$666,"&lt;"&amp;EDATE($A22,1),'每日数据'!$F$2:$F$666,"&lt;&gt;"),"")</x:f>
        <x:v>99.698</x:v>
      </x:c>
      <x:c r="G22" s="46" t="n">
        <x:f>IFERROR(SUMIFS('每日数据'!$G$2:$G$666,'每日数据'!$A$2:$A$666,"&gt;="&amp;$A22,'每日数据'!$A$2:$A$666,"&lt;"&amp;EDATE($A22,1))/COUNTIFS('每日数据'!$A$2:$A$666,"&gt;="&amp;$A22,'每日数据'!$A$2:$A$666,"&lt;"&amp;EDATE($A22,1),'每日数据'!$G$2:$G$666,"&lt;&gt;"),"")</x:f>
        <x:v>96.31866666666669</x:v>
      </x:c>
      <x:c r="H22" s="46" t="n">
        <x:f>B22-C22</x:f>
        <x:v>4.823666666666583</x:v>
      </x:c>
    </x:row>
    <x:row r="23">
      <x:c r="A23" s="52" t="d">
        <x:v>2026-07-01T00:00:00.000Z</x:v>
      </x:c>
      <x:c r="B23" s="46" t="n">
        <x:f>IFERROR(SUMIFS('每日数据'!$B$2:$B$666,'每日数据'!$A$2:$A$666,"&gt;="&amp;$A23,'每日数据'!$A$2:$A$666,"&lt;"&amp;EDATE($A23,1))/COUNTIFS('每日数据'!$A$2:$A$666,"&gt;="&amp;$A23,'每日数据'!$A$2:$A$666,"&lt;"&amp;EDATE($A23,1),'每日数据'!$B$2:$B$666,"&lt;&gt;"),"")</x:f>
        <x:v>291.8641935483871</x:v>
      </x:c>
      <x:c r="C23" s="46" t="n">
        <x:f>IFERROR(SUMIFS('每日数据'!$C$2:$C$666,'每日数据'!$A$2:$A$666,"&gt;="&amp;$A23,'每日数据'!$A$2:$A$666,"&lt;"&amp;EDATE($A23,1))/COUNTIFS('每日数据'!$A$2:$A$666,"&gt;="&amp;$A23,'每日数据'!$A$2:$A$666,"&lt;"&amp;EDATE($A23,1),'每日数据'!$C$2:$C$666,"&lt;&gt;"),"")</x:f>
        <x:v>293.24677419354845</x:v>
      </x:c>
      <x:c r="D23" s="46" t="n">
        <x:f>IFERROR(SUMIFS('每日数据'!$D$2:$D$666,'每日数据'!$A$2:$A$666,"&gt;="&amp;$A23,'每日数据'!$A$2:$A$666,"&lt;"&amp;EDATE($A23,1))/COUNTIFS('每日数据'!$A$2:$A$666,"&gt;="&amp;$A23,'每日数据'!$A$2:$A$666,"&lt;"&amp;EDATE($A23,1),'每日数据'!$D$2:$D$666,"&lt;&gt;"),"")</x:f>
        <x:v>317.33600000000007</x:v>
      </x:c>
      <x:c r="E23" s="46" t="n">
        <x:f>IFERROR(SUMIFS('每日数据'!$E$2:$E$666,'每日数据'!$A$2:$A$666,"&gt;="&amp;$A23,'每日数据'!$A$2:$A$666,"&lt;"&amp;EDATE($A23,1))/COUNTIFS('每日数据'!$A$2:$A$666,"&gt;="&amp;$A23,'每日数据'!$A$2:$A$666,"&lt;"&amp;EDATE($A23,1),'每日数据'!$E$2:$E$666,"&lt;&gt;"),"")</x:f>
        <x:v>317.49</x:v>
      </x:c>
      <x:c r="F23" s="46" t="n">
        <x:f>IFERROR(SUMIFS('每日数据'!$F$2:$F$666,'每日数据'!$A$2:$A$666,"&gt;="&amp;$A23,'每日数据'!$A$2:$A$666,"&lt;"&amp;EDATE($A23,1))/COUNTIFS('每日数据'!$A$2:$A$666,"&gt;="&amp;$A23,'每日数据'!$A$2:$A$666,"&lt;"&amp;EDATE($A23,1),'每日数据'!$F$2:$F$666,"&lt;&gt;"),"")</x:f>
        <x:v>199.67500000000004</x:v>
      </x:c>
      <x:c r="G23" s="46" t="n">
        <x:f>IFERROR(SUMIFS('每日数据'!$G$2:$G$666,'每日数据'!$A$2:$A$666,"&gt;="&amp;$A23,'每日数据'!$A$2:$A$666,"&lt;"&amp;EDATE($A23,1))/COUNTIFS('每日数据'!$A$2:$A$666,"&gt;="&amp;$A23,'每日数据'!$A$2:$A$666,"&lt;"&amp;EDATE($A23,1),'每日数据'!$G$2:$G$666,"&lt;&gt;"),"")</x:f>
        <x:v>204.3896666666666</x:v>
      </x:c>
      <x:c r="H23" s="46" t="n">
        <x:f>B23-C23</x:f>
        <x:v>-1.3825806451613403</x:v>
      </x:c>
    </x:row>
    <x:row r="24">
      <x:c r="A24" s="52" t="d">
        <x:v>2026-08-01T00:00:00.000Z</x:v>
      </x:c>
      <x:c r="B24" s="46" t="n">
        <x:f>IFERROR(SUMIFS('每日数据'!$B$2:$B$666,'每日数据'!$A$2:$A$666,"&gt;="&amp;$A24,'每日数据'!$A$2:$A$666,"&lt;"&amp;EDATE($A24,1))/COUNTIFS('每日数据'!$A$2:$A$666,"&gt;="&amp;$A24,'每日数据'!$A$2:$A$666,"&lt;"&amp;EDATE($A24,1),'每日数据'!$B$2:$B$666,"&lt;&gt;"),"")</x:f>
        <x:v>229.97129032258067</x:v>
      </x:c>
      <x:c r="C24" s="46" t="n">
        <x:f>IFERROR(SUMIFS('每日数据'!$C$2:$C$666,'每日数据'!$A$2:$A$666,"&gt;="&amp;$A24,'每日数据'!$A$2:$A$666,"&lt;"&amp;EDATE($A24,1))/COUNTIFS('每日数据'!$A$2:$A$666,"&gt;="&amp;$A24,'每日数据'!$A$2:$A$666,"&lt;"&amp;EDATE($A24,1),'每日数据'!$C$2:$C$666,"&lt;&gt;"),"")</x:f>
        <x:v>238.56258064516126</x:v>
      </x:c>
      <x:c r="D24" s="46" t="n">
        <x:f>IFERROR(SUMIFS('每日数据'!$D$2:$D$666,'每日数据'!$A$2:$A$666,"&gt;="&amp;$A24,'每日数据'!$A$2:$A$666,"&lt;"&amp;EDATE($A24,1))/COUNTIFS('每日数据'!$A$2:$A$666,"&gt;="&amp;$A24,'每日数据'!$A$2:$A$666,"&lt;"&amp;EDATE($A24,1),'每日数据'!$D$2:$D$666,"&lt;&gt;"),"")</x:f>
        <x:v>255.03387096774193</x:v>
      </x:c>
      <x:c r="E24" s="46" t="n">
        <x:f>IFERROR(SUMIFS('每日数据'!$E$2:$E$666,'每日数据'!$A$2:$A$666,"&gt;="&amp;$A24,'每日数据'!$A$2:$A$666,"&lt;"&amp;EDATE($A24,1))/COUNTIFS('每日数据'!$A$2:$A$666,"&gt;="&amp;$A24,'每日数据'!$A$2:$A$666,"&lt;"&amp;EDATE($A24,1),'每日数据'!$E$2:$E$666,"&lt;&gt;"),"")</x:f>
        <x:v>264.5206451612903</x:v>
      </x:c>
      <x:c r="F24" s="46" t="n">
        <x:f>IFERROR(SUMIFS('每日数据'!$F$2:$F$666,'每日数据'!$A$2:$A$666,"&gt;="&amp;$A24,'每日数据'!$A$2:$A$666,"&lt;"&amp;EDATE($A24,1))/COUNTIFS('每日数据'!$A$2:$A$666,"&gt;="&amp;$A24,'每日数据'!$A$2:$A$666,"&lt;"&amp;EDATE($A24,1),'每日数据'!$F$2:$F$666,"&lt;&gt;"),"")</x:f>
        <x:v>142.32258064516125</x:v>
      </x:c>
      <x:c r="G24" s="46" t="n">
        <x:f>IFERROR(SUMIFS('每日数据'!$G$2:$G$666,'每日数据'!$A$2:$A$666,"&gt;="&amp;$A24,'每日数据'!$A$2:$A$666,"&lt;"&amp;EDATE($A24,1))/COUNTIFS('每日数据'!$A$2:$A$666,"&gt;="&amp;$A24,'每日数据'!$A$2:$A$666,"&lt;"&amp;EDATE($A24,1),'每日数据'!$G$2:$G$666,"&lt;&gt;"),"")</x:f>
        <x:v>148.70322580645163</x:v>
      </x:c>
      <x:c r="H24" s="46" t="n">
        <x:f>B24-C24</x:f>
        <x:v>-8.59129032258059</x:v>
      </x:c>
    </x:row>
    <x:row r="25">
      <x:c r="A25" s="52" t="d">
        <x:v>2026-09-01T00:00:00.000Z</x:v>
      </x:c>
      <x:c r="B25" s="46" t="n">
        <x:f>IFERROR(SUMIFS('每日数据'!$B$2:$B$666,'每日数据'!$A$2:$A$666,"&gt;="&amp;$A25,'每日数据'!$A$2:$A$666,"&lt;"&amp;EDATE($A25,1))/COUNTIFS('每日数据'!$A$2:$A$666,"&gt;="&amp;$A25,'每日数据'!$A$2:$A$666,"&lt;"&amp;EDATE($A25,1),'每日数据'!$B$2:$B$666,"&lt;&gt;"),"")</x:f>
        <x:v>289.195</x:v>
      </x:c>
      <x:c r="C25" s="46" t="n">
        <x:f>IFERROR(SUMIFS('每日数据'!$C$2:$C$666,'每日数据'!$A$2:$A$666,"&gt;="&amp;$A25,'每日数据'!$A$2:$A$666,"&lt;"&amp;EDATE($A25,1))/COUNTIFS('每日数据'!$A$2:$A$666,"&gt;="&amp;$A25,'每日数据'!$A$2:$A$666,"&lt;"&amp;EDATE($A25,1),'每日数据'!$C$2:$C$666,"&lt;&gt;"),"")</x:f>
        <x:v>309.8459090909091</x:v>
      </x:c>
      <x:c r="D25" s="46" t="n">
        <x:f>IFERROR(SUMIFS('每日数据'!$D$2:$D$666,'每日数据'!$A$2:$A$666,"&gt;="&amp;$A25,'每日数据'!$A$2:$A$666,"&lt;"&amp;EDATE($A25,1))/COUNTIFS('每日数据'!$A$2:$A$666,"&gt;="&amp;$A25,'每日数据'!$A$2:$A$666,"&lt;"&amp;EDATE($A25,1),'每日数据'!$D$2:$D$666,"&lt;&gt;"),"")</x:f>
        <x:v>325.2886666666666</x:v>
      </x:c>
      <x:c r="E25" s="46" t="n">
        <x:f>IFERROR(SUMIFS('每日数据'!$E$2:$E$666,'每日数据'!$A$2:$A$666,"&gt;="&amp;$A25,'每日数据'!$A$2:$A$666,"&lt;"&amp;EDATE($A25,1))/COUNTIFS('每日数据'!$A$2:$A$666,"&gt;="&amp;$A25,'每日数据'!$A$2:$A$666,"&lt;"&amp;EDATE($A25,1),'每日数据'!$E$2:$E$666,"&lt;&gt;"),"")</x:f>
        <x:v>351.34599999999995</x:v>
      </x:c>
      <x:c r="F25" s="46" t="n">
        <x:f>IFERROR(SUMIFS('每日数据'!$F$2:$F$666,'每日数据'!$A$2:$A$666,"&gt;="&amp;$A25,'每日数据'!$A$2:$A$666,"&lt;"&amp;EDATE($A25,1))/COUNTIFS('每日数据'!$A$2:$A$666,"&gt;="&amp;$A25,'每日数据'!$A$2:$A$666,"&lt;"&amp;EDATE($A25,1),'每日数据'!$F$2:$F$666,"&lt;&gt;"),"")</x:f>
        <x:v>205.52733333333333</x:v>
      </x:c>
      <x:c r="G25" s="46" t="n">
        <x:f>IFERROR(SUMIFS('每日数据'!$G$2:$G$666,'每日数据'!$A$2:$A$666,"&gt;="&amp;$A25,'每日数据'!$A$2:$A$666,"&lt;"&amp;EDATE($A25,1))/COUNTIFS('每日数据'!$A$2:$A$666,"&gt;="&amp;$A25,'每日数据'!$A$2:$A$666,"&lt;"&amp;EDATE($A25,1),'每日数据'!$G$2:$G$666,"&lt;&gt;"),"")</x:f>
        <x:v>234.43433333333334</x:v>
      </x:c>
      <x:c r="H25" s="46" t="n">
        <x:f>B25-C25</x:f>
        <x:v>-20.650909090909124</x:v>
      </x:c>
    </x:row>
    <x:row r="26">
      <x:c r="A26" s="52" t="d">
        <x:v>2026-10-01T00:00:00.000Z</x:v>
      </x:c>
      <x:c r="B26" s="46" t="n">
        <x:f>IFERROR(SUMIFS('每日数据'!$B$2:$B$666,'每日数据'!$A$2:$A$666,"&gt;="&amp;$A26,'每日数据'!$A$2:$A$666,"&lt;"&amp;EDATE($A26,1))/COUNTIFS('每日数据'!$A$2:$A$666,"&gt;="&amp;$A26,'每日数据'!$A$2:$A$666,"&lt;"&amp;EDATE($A26,1),'每日数据'!$B$2:$B$666,"&lt;&gt;"),"")</x:f>
        <x:v>306.5333333333333</x:v>
      </x:c>
      <x:c r="C26" s="46" t="n">
        <x:f>IFERROR(SUMIFS('每日数据'!$C$2:$C$666,'每日数据'!$A$2:$A$666,"&gt;="&amp;$A26,'每日数据'!$A$2:$A$666,"&lt;"&amp;EDATE($A26,1))/COUNTIFS('每日数据'!$A$2:$A$666,"&gt;="&amp;$A26,'每日数据'!$A$2:$A$666,"&lt;"&amp;EDATE($A26,1),'每日数据'!$C$2:$C$666,"&lt;&gt;"),"")</x:f>
        <x:v>307.27888888888884</x:v>
      </x:c>
      <x:c r="D26" s="46" t="n">
        <x:f>IFERROR(SUMIFS('每日数据'!$D$2:$D$666,'每日数据'!$A$2:$A$666,"&gt;="&amp;$A26,'每日数据'!$A$2:$A$666,"&lt;"&amp;EDATE($A26,1))/COUNTIFS('每日数据'!$A$2:$A$666,"&gt;="&amp;$A26,'每日数据'!$A$2:$A$666,"&lt;"&amp;EDATE($A26,1),'每日数据'!$D$2:$D$666,"&lt;&gt;"),"")</x:f>
        <x:v>335.99185185185183</x:v>
      </x:c>
      <x:c r="E26" s="46" t="n">
        <x:f>IFERROR(SUMIFS('每日数据'!$E$2:$E$666,'每日数据'!$A$2:$A$666,"&gt;="&amp;$A26,'每日数据'!$A$2:$A$666,"&lt;"&amp;EDATE($A26,1))/COUNTIFS('每日数据'!$A$2:$A$666,"&gt;="&amp;$A26,'每日数据'!$A$2:$A$666,"&lt;"&amp;EDATE($A26,1),'每日数据'!$E$2:$E$666,"&lt;&gt;"),"")</x:f>
        <x:v>340.2751851851852</x:v>
      </x:c>
      <x:c r="F26" s="46" t="n">
        <x:f>IFERROR(SUMIFS('每日数据'!$F$2:$F$666,'每日数据'!$A$2:$A$666,"&gt;="&amp;$A26,'每日数据'!$A$2:$A$666,"&lt;"&amp;EDATE($A26,1))/COUNTIFS('每日数据'!$A$2:$A$666,"&gt;="&amp;$A26,'每日数据'!$A$2:$A$666,"&lt;"&amp;EDATE($A26,1),'每日数据'!$F$2:$F$666,"&lt;&gt;"),"")</x:f>
        <x:v>207.83629629629627</x:v>
      </x:c>
      <x:c r="G26" s="46" t="n">
        <x:f>IFERROR(SUMIFS('每日数据'!$G$2:$G$666,'每日数据'!$A$2:$A$666,"&gt;="&amp;$A26,'每日数据'!$A$2:$A$666,"&lt;"&amp;EDATE($A26,1))/COUNTIFS('每日数据'!$A$2:$A$666,"&gt;="&amp;$A26,'每日数据'!$A$2:$A$666,"&lt;"&amp;EDATE($A26,1),'每日数据'!$G$2:$G$666,"&lt;&gt;"),"")</x:f>
        <x:v>201.45185185185179</x:v>
      </x:c>
      <x:c r="H26" s="46" t="n">
        <x:f>B26-C26</x:f>
        <x:v>-0.7455555555555406</x:v>
      </x:c>
    </x:row>
    <x:row r="40">
      <x:c r="A40" t="str">
        <x:v>月份标签</x:v>
      </x:c>
      <x:c r="B40" t="str">
        <x:v>总体日前</x:v>
      </x:c>
      <x:c r="C40" t="str">
        <x:v>总体实时</x:v>
      </x:c>
      <x:c r="D40" t="str">
        <x:v>火电日前</x:v>
      </x:c>
      <x:c r="E40" t="str">
        <x:v>火电实时</x:v>
      </x:c>
      <x:c r="F40" t="str">
        <x:v>新能源日前</x:v>
      </x:c>
      <x:c r="G40" t="str">
        <x:v>新能源实时</x:v>
      </x:c>
    </x:row>
    <x:row r="41">
      <x:c r="A41" t="str">
        <x:f>TEXT(A5,"yyyy-mm")</x:f>
        <x:v>2025-01</x:v>
      </x:c>
      <x:c r="B41" t="n">
        <x:f>B5</x:f>
        <x:v>329.55612903225807</x:v>
      </x:c>
      <x:c r="C41" t="n">
        <x:f>C5</x:f>
        <x:v>363.4670967741936</x:v>
      </x:c>
      <x:c r="D41" t="n">
        <x:f>D5</x:f>
        <x:v>351.32580645161295</x:v>
      </x:c>
      <x:c r="E41" t="n">
        <x:f>E5</x:f>
        <x:v>385.76935483870983</x:v>
      </x:c>
      <x:c r="F41" t="n">
        <x:f>F5</x:f>
        <x:v>215.62870967741932</x:v>
      </x:c>
      <x:c r="G41" t="n">
        <x:f>G5</x:f>
        <x:v>246.1216129032258</x:v>
      </x:c>
    </x:row>
    <x:row r="42">
      <x:c r="A42" t="str">
        <x:f>TEXT(A6,"yyyy-mm")</x:f>
        <x:v>2025-02</x:v>
      </x:c>
      <x:c r="B42" t="n">
        <x:f>B6</x:f>
        <x:v>300.44928571428574</x:v>
      </x:c>
      <x:c r="C42" t="n">
        <x:f>C6</x:f>
        <x:v>260.71535714285716</x:v>
      </x:c>
      <x:c r="D42" t="n">
        <x:f>D6</x:f>
        <x:v>328.29571428571427</x:v>
      </x:c>
      <x:c r="E42" t="n">
        <x:f>E6</x:f>
        <x:v>279.91249999999997</x:v>
      </x:c>
      <x:c r="F42" t="n">
        <x:f>F6</x:f>
        <x:v>178.16428571428574</x:v>
      </x:c>
      <x:c r="G42" t="n">
        <x:f>G6</x:f>
        <x:v>177.3103571428571</x:v>
      </x:c>
    </x:row>
    <x:row r="43">
      <x:c r="A43" t="str">
        <x:f>TEXT(A7,"yyyy-mm")</x:f>
        <x:v>2025-03</x:v>
      </x:c>
      <x:c r="B43" t="n">
        <x:f>B7</x:f>
        <x:v>279.8206451612903</x:v>
      </x:c>
      <x:c r="C43" t="n">
        <x:f>C7</x:f>
        <x:v>249.16709677419354</x:v>
      </x:c>
      <x:c r="D43" t="n">
        <x:f>D7</x:f>
        <x:v>312.7683870967742</x:v>
      </x:c>
      <x:c r="E43" t="n">
        <x:f>E7</x:f>
        <x:v>276.3945161290322</x:v>
      </x:c>
      <x:c r="F43" t="n">
        <x:f>F7</x:f>
        <x:v>171.45032258064512</x:v>
      </x:c>
      <x:c r="G43" t="n">
        <x:f>G7</x:f>
        <x:v>160.2796774193548</x:v>
      </x:c>
    </x:row>
    <x:row r="44">
      <x:c r="A44" t="str">
        <x:f>TEXT(A8,"yyyy-mm")</x:f>
        <x:v>2025-04</x:v>
      </x:c>
      <x:c r="B44" t="n">
        <x:f>B8</x:f>
        <x:v>220.40933333333334</x:v>
      </x:c>
      <x:c r="C44" t="n">
        <x:f>C8</x:f>
        <x:v>227.9486666666667</x:v>
      </x:c>
      <x:c r="D44" t="n">
        <x:f>D8</x:f>
        <x:v>262.6410000000001</x:v>
      </x:c>
      <x:c r="E44" t="n">
        <x:f>E8</x:f>
        <x:v>269.39033333333333</x:v>
      </x:c>
      <x:c r="F44" t="n">
        <x:f>F8</x:f>
        <x:v>123.596</x:v>
      </x:c>
      <x:c r="G44" t="n">
        <x:f>G8</x:f>
        <x:v>131.11266666666668</x:v>
      </x:c>
    </x:row>
    <x:row r="45">
      <x:c r="A45" t="str">
        <x:f>TEXT(A9,"yyyy-mm")</x:f>
        <x:v>2025-05</x:v>
      </x:c>
      <x:c r="B45" t="n">
        <x:f>B9</x:f>
        <x:v>216.26193548387099</x:v>
      </x:c>
      <x:c r="C45" t="n">
        <x:f>C9</x:f>
        <x:v>213.6558064516129</x:v>
      </x:c>
      <x:c r="D45" t="n">
        <x:f>D9</x:f>
        <x:v>249.0003225806452</x:v>
      </x:c>
      <x:c r="E45" t="n">
        <x:f>E9</x:f>
        <x:v>244.5761290322581</x:v>
      </x:c>
      <x:c r="F45" t="n">
        <x:f>F9</x:f>
        <x:v>131.72161290322578</x:v>
      </x:c>
      <x:c r="G45" t="n">
        <x:f>G9</x:f>
        <x:v>132.73967741935485</x:v>
      </x:c>
    </x:row>
    <x:row r="46">
      <x:c r="A46" t="str">
        <x:f>TEXT(A10,"yyyy-mm")</x:f>
        <x:v>2025-06</x:v>
      </x:c>
      <x:c r="B46" t="n">
        <x:f>B10</x:f>
        <x:v>237.06566666666671</x:v>
      </x:c>
      <x:c r="C46" t="n">
        <x:f>C10</x:f>
        <x:v>242.62517241379314</x:v>
      </x:c>
      <x:c r="D46" t="n">
        <x:f>D10</x:f>
        <x:v>267.17533333333336</x:v>
      </x:c>
      <x:c r="E46" t="n">
        <x:f>E10</x:f>
        <x:v>266.20965517241376</x:v>
      </x:c>
      <x:c r="F46" t="n">
        <x:f>F10</x:f>
        <x:v>134.40133333333333</x:v>
      </x:c>
      <x:c r="G46" t="n">
        <x:f>G10</x:f>
        <x:v>155.09344827586207</x:v>
      </x:c>
    </x:row>
    <x:row r="47">
      <x:c r="A47" t="str">
        <x:f>TEXT(A11,"yyyy-mm")</x:f>
        <x:v>2025-07</x:v>
      </x:c>
      <x:c r="B47" t="n">
        <x:f>B11</x:f>
        <x:v>251.60870967741943</x:v>
      </x:c>
      <x:c r="C47" t="n">
        <x:f>C11</x:f>
        <x:v>255.76096774193545</x:v>
      </x:c>
      <x:c r="D47" t="n">
        <x:f>D11</x:f>
        <x:v>281.05580645161297</x:v>
      </x:c>
      <x:c r="E47" t="n">
        <x:f>E11</x:f>
        <x:v>279.63709677419354</x:v>
      </x:c>
      <x:c r="F47" t="n">
        <x:f>F11</x:f>
        <x:v>136.8290322580645</x:v>
      </x:c>
      <x:c r="G47" t="n">
        <x:f>G11</x:f>
        <x:v>157.16032258064516</x:v>
      </x:c>
    </x:row>
    <x:row r="48">
      <x:c r="A48" t="str">
        <x:f>TEXT(A12,"yyyy-mm")</x:f>
        <x:v>2025-08</x:v>
      </x:c>
      <x:c r="B48" t="n">
        <x:f>B12</x:f>
        <x:v>298.37354838709683</x:v>
      </x:c>
      <x:c r="C48" t="n">
        <x:f>C12</x:f>
        <x:v>295.5012903225807</x:v>
      </x:c>
      <x:c r="D48" t="n">
        <x:f>D12</x:f>
        <x:v>332.4093548387097</x:v>
      </x:c>
      <x:c r="E48" t="n">
        <x:f>E12</x:f>
        <x:v>323.1909677419355</x:v>
      </x:c>
      <x:c r="F48" t="n">
        <x:f>F12</x:f>
        <x:v>151.3493548387097</x:v>
      </x:c>
      <x:c r="G48" t="n">
        <x:f>G12</x:f>
        <x:v>169.80516129032256</x:v>
      </x:c>
    </x:row>
    <x:row r="49">
      <x:c r="A49" t="str">
        <x:f>TEXT(A13,"yyyy-mm")</x:f>
        <x:v>2025-09</x:v>
      </x:c>
      <x:c r="B49" t="n">
        <x:f>B13</x:f>
        <x:v>144.22233333333335</x:v>
      </x:c>
      <x:c r="C49" t="n">
        <x:f>C13</x:f>
        <x:v>200.23433333333338</x:v>
      </x:c>
      <x:c r="D49" t="n">
        <x:f>D13</x:f>
        <x:v>164.3046666666666</x:v>
      </x:c>
      <x:c r="E49" t="n">
        <x:f>E13</x:f>
        <x:v>218.50633333333334</x:v>
      </x:c>
      <x:c r="F49" t="n">
        <x:f>F13</x:f>
        <x:v>95.92533333333337</x:v>
      </x:c>
      <x:c r="G49" t="n">
        <x:f>G13</x:f>
        <x:v>152.36366666666666</x:v>
      </x:c>
    </x:row>
    <x:row r="50">
      <x:c r="A50" t="str">
        <x:f>TEXT(A14,"yyyy-mm")</x:f>
        <x:v>2025-10</x:v>
      </x:c>
      <x:c r="B50" t="n">
        <x:f>B14</x:f>
        <x:v>257.27516129032256</x:v>
      </x:c>
      <x:c r="C50" t="n">
        <x:f>C14</x:f>
        <x:v>319.4687096774194</x:v>
      </x:c>
      <x:c r="D50" t="n">
        <x:f>D14</x:f>
        <x:v>279.0945161290323</x:v>
      </x:c>
      <x:c r="E50" t="n">
        <x:f>E14</x:f>
        <x:v>340.140322580645</x:v>
      </x:c>
      <x:c r="F50" t="n">
        <x:f>F14</x:f>
        <x:v>171.19580645161287</x:v>
      </x:c>
      <x:c r="G50" t="n">
        <x:f>G14</x:f>
        <x:v>228.87322580645167</x:v>
      </x:c>
    </x:row>
    <x:row r="51">
      <x:c r="A51" t="str">
        <x:f>TEXT(A15,"yyyy-mm")</x:f>
        <x:v>2025-11</x:v>
      </x:c>
      <x:c r="B51" t="n">
        <x:f>B15</x:f>
        <x:v>187.08299999999994</x:v>
      </x:c>
      <x:c r="C51" t="n">
        <x:f>C15</x:f>
        <x:v>208.76566666666668</x:v>
      </x:c>
      <x:c r="D51" t="n">
        <x:f>D15</x:f>
        <x:v>208.34633333333332</x:v>
      </x:c>
      <x:c r="E51" t="n">
        <x:f>E15</x:f>
        <x:v>231.30599999999998</x:v>
      </x:c>
      <x:c r="F51" t="n">
        <x:f>F15</x:f>
        <x:v>103.11566666666664</x:v>
      </x:c>
      <x:c r="G51" t="n">
        <x:f>G15</x:f>
        <x:v>115.58999999999999</x:v>
      </x:c>
    </x:row>
    <x:row r="52">
      <x:c r="A52" t="str">
        <x:f>TEXT(A16,"yyyy-mm")</x:f>
        <x:v>2025-12</x:v>
      </x:c>
      <x:c r="B52" t="n">
        <x:f>B16</x:f>
        <x:v>271.9325806451613</x:v>
      </x:c>
      <x:c r="C52" t="n">
        <x:f>C16</x:f>
        <x:v>273.27806451612906</x:v>
      </x:c>
      <x:c r="D52" t="n">
        <x:f>D16</x:f>
        <x:v>299.0351612903226</x:v>
      </x:c>
      <x:c r="E52" t="n">
        <x:f>E16</x:f>
        <x:v>299.65322580645164</x:v>
      </x:c>
      <x:c r="F52" t="n">
        <x:f>F16</x:f>
        <x:v>140.0470967741936</x:v>
      </x:c>
      <x:c r="G52" t="n">
        <x:f>G16</x:f>
        <x:v>139.21290322580646</x:v>
      </x:c>
    </x:row>
    <x:row r="53">
      <x:c r="A53" t="str">
        <x:f>TEXT(A17,"yyyy-mm")</x:f>
        <x:v>2026-01</x:v>
      </x:c>
      <x:c r="B53" t="n">
        <x:f>B17</x:f>
        <x:v>279.0032258064516</x:v>
      </x:c>
      <x:c r="C53" t="n">
        <x:f>C17</x:f>
        <x:v>271.9425806451613</x:v>
      </x:c>
      <x:c r="D53" t="n">
        <x:f>D17</x:f>
        <x:v>300.0367741935484</x:v>
      </x:c>
      <x:c r="E53" t="n">
        <x:f>E17</x:f>
        <x:v>289.38000000000005</x:v>
      </x:c>
      <x:c r="F53" t="n">
        <x:f>F17</x:f>
        <x:v>180.67709677419356</x:v>
      </x:c>
      <x:c r="G53" t="n">
        <x:f>G17</x:f>
        <x:v>186.3467741935484</x:v>
      </x:c>
    </x:row>
    <x:row r="54">
      <x:c r="A54" t="str">
        <x:f>TEXT(A18,"yyyy-mm")</x:f>
        <x:v>2026-02</x:v>
      </x:c>
      <x:c r="B54" t="n">
        <x:f>B18</x:f>
        <x:v>208.5582142857143</x:v>
      </x:c>
      <x:c r="C54" t="n">
        <x:f>C18</x:f>
        <x:v>199.73857142857145</x:v>
      </x:c>
      <x:c r="D54" t="n">
        <x:f>D18</x:f>
        <x:v>238.7057142857143</x:v>
      </x:c>
      <x:c r="E54" t="n">
        <x:f>E18</x:f>
        <x:v>225.0778571428571</x:v>
      </x:c>
      <x:c r="F54" t="n">
        <x:f>F18</x:f>
        <x:v>98.31035714285713</x:v>
      </x:c>
      <x:c r="G54" t="n">
        <x:f>G18</x:f>
        <x:v>103.44857142857143</x:v>
      </x:c>
    </x:row>
    <x:row r="55">
      <x:c r="A55" t="str">
        <x:f>TEXT(A19,"yyyy-mm")</x:f>
        <x:v>2026-03</x:v>
      </x:c>
      <x:c r="B55" t="n">
        <x:f>B19</x:f>
        <x:v>214.751935483871</x:v>
      </x:c>
      <x:c r="C55" t="n">
        <x:f>C19</x:f>
        <x:v>210.5164516129032</x:v>
      </x:c>
      <x:c r="D55" t="n">
        <x:f>D19</x:f>
        <x:v>245.5132258064516</x:v>
      </x:c>
      <x:c r="E55" t="n">
        <x:f>E19</x:f>
        <x:v>237.59838709677413</x:v>
      </x:c>
      <x:c r="F55" t="n">
        <x:f>F19</x:f>
        <x:v>123.60064516129032</x:v>
      </x:c>
      <x:c r="G55" t="n">
        <x:f>G19</x:f>
        <x:v>129.11387096774195</x:v>
      </x:c>
    </x:row>
    <x:row r="56">
      <x:c r="A56" t="str">
        <x:f>TEXT(A20,"yyyy-mm")</x:f>
        <x:v>2026-04</x:v>
      </x:c>
      <x:c r="B56" t="n">
        <x:f>B20</x:f>
        <x:v>159.10166666666666</x:v>
      </x:c>
      <x:c r="C56" t="n">
        <x:f>C20</x:f>
        <x:v>159.5346666666667</x:v>
      </x:c>
      <x:c r="D56" t="n">
        <x:f>D20</x:f>
        <x:v>204.07900000000004</x:v>
      </x:c>
      <x:c r="E56" t="n">
        <x:f>E20</x:f>
        <x:v>199.92633333333336</x:v>
      </x:c>
      <x:c r="F56" t="n">
        <x:f>F20</x:f>
        <x:v>77.90900000000002</x:v>
      </x:c>
      <x:c r="G56" t="n">
        <x:f>G20</x:f>
        <x:v>85.97333333333333</x:v>
      </x:c>
    </x:row>
    <x:row r="57">
      <x:c r="A57" t="str">
        <x:f>TEXT(A21,"yyyy-mm")</x:f>
        <x:v>2026-05</x:v>
      </x:c>
      <x:c r="B57" t="n">
        <x:f>B21</x:f>
        <x:v>143.0783870967742</x:v>
      </x:c>
      <x:c r="C57" t="n">
        <x:f>C21</x:f>
        <x:v>149.3541935483871</x:v>
      </x:c>
      <x:c r="D57" t="n">
        <x:f>D21</x:f>
        <x:v>175.76451612903227</x:v>
      </x:c>
      <x:c r="E57" t="n">
        <x:f>E21</x:f>
        <x:v>185.0235483870968</x:v>
      </x:c>
      <x:c r="F57" t="n">
        <x:f>F21</x:f>
        <x:v>72.17032258064515</x:v>
      </x:c>
      <x:c r="G57" t="n">
        <x:f>G21</x:f>
        <x:v>72.60258064516127</x:v>
      </x:c>
    </x:row>
    <x:row r="58">
      <x:c r="A58" t="str">
        <x:f>TEXT(A22,"yyyy-mm")</x:f>
        <x:v>2026-06</x:v>
      </x:c>
      <x:c r="B58" t="n">
        <x:f>B22</x:f>
        <x:v>178.90266666666665</x:v>
      </x:c>
      <x:c r="C58" t="n">
        <x:f>C22</x:f>
        <x:v>174.07900000000006</x:v>
      </x:c>
      <x:c r="D58" t="n">
        <x:f>D22</x:f>
        <x:v>216.8056666666667</x:v>
      </x:c>
      <x:c r="E58" t="n">
        <x:f>E22</x:f>
        <x:v>211.91700000000003</x:v>
      </x:c>
      <x:c r="F58" t="n">
        <x:f>F22</x:f>
        <x:v>99.698</x:v>
      </x:c>
      <x:c r="G58" t="n">
        <x:f>G22</x:f>
        <x:v>96.31866666666669</x:v>
      </x:c>
    </x:row>
    <x:row r="59">
      <x:c r="A59" t="str">
        <x:f>TEXT(A23,"yyyy-mm")</x:f>
        <x:v>2026-07</x:v>
      </x:c>
      <x:c r="B59" t="n">
        <x:f>B23</x:f>
        <x:v>291.8641935483871</x:v>
      </x:c>
      <x:c r="C59" t="n">
        <x:f>C23</x:f>
        <x:v>293.24677419354845</x:v>
      </x:c>
      <x:c r="D59" t="n">
        <x:f>D23</x:f>
        <x:v>317.33600000000007</x:v>
      </x:c>
      <x:c r="E59" t="n">
        <x:f>E23</x:f>
        <x:v>317.49</x:v>
      </x:c>
      <x:c r="F59" t="n">
        <x:f>F23</x:f>
        <x:v>199.67500000000004</x:v>
      </x:c>
      <x:c r="G59" t="n">
        <x:f>G23</x:f>
        <x:v>204.3896666666666</x:v>
      </x:c>
    </x:row>
    <x:row r="60">
      <x:c r="A60" t="str">
        <x:f>TEXT(A24,"yyyy-mm")</x:f>
        <x:v>2026-08</x:v>
      </x:c>
      <x:c r="B60" t="n">
        <x:f>B24</x:f>
        <x:v>229.97129032258067</x:v>
      </x:c>
      <x:c r="C60" t="n">
        <x:f>C24</x:f>
        <x:v>238.56258064516126</x:v>
      </x:c>
      <x:c r="D60" t="n">
        <x:f>D24</x:f>
        <x:v>255.03387096774193</x:v>
      </x:c>
      <x:c r="E60" t="n">
        <x:f>E24</x:f>
        <x:v>264.5206451612903</x:v>
      </x:c>
      <x:c r="F60" t="n">
        <x:f>F24</x:f>
        <x:v>142.32258064516125</x:v>
      </x:c>
      <x:c r="G60" t="n">
        <x:f>G24</x:f>
        <x:v>148.70322580645163</x:v>
      </x:c>
    </x:row>
    <x:row r="61">
      <x:c r="A61" t="str">
        <x:f>TEXT(A25,"yyyy-mm")</x:f>
        <x:v>2026-09</x:v>
      </x:c>
      <x:c r="B61" t="n">
        <x:f>B25</x:f>
        <x:v>289.195</x:v>
      </x:c>
      <x:c r="C61" t="n">
        <x:f>C25</x:f>
        <x:v>309.8459090909091</x:v>
      </x:c>
      <x:c r="D61" t="n">
        <x:f>D25</x:f>
        <x:v>325.2886666666666</x:v>
      </x:c>
      <x:c r="E61" t="n">
        <x:f>E25</x:f>
        <x:v>351.34599999999995</x:v>
      </x:c>
      <x:c r="F61" t="n">
        <x:f>F25</x:f>
        <x:v>205.52733333333333</x:v>
      </x:c>
      <x:c r="G61" t="n">
        <x:f>G25</x:f>
        <x:v>234.43433333333334</x:v>
      </x:c>
    </x:row>
    <x:row r="62">
      <x:c r="A62" t="str">
        <x:f>TEXT(A26,"yyyy-mm")</x:f>
        <x:v>2026-10</x:v>
      </x:c>
      <x:c r="B62" t="n">
        <x:f>B26</x:f>
        <x:v>306.5333333333333</x:v>
      </x:c>
      <x:c r="C62" t="n">
        <x:f>C26</x:f>
        <x:v>307.27888888888884</x:v>
      </x:c>
      <x:c r="D62" t="n">
        <x:f>D26</x:f>
        <x:v>335.99185185185183</x:v>
      </x:c>
      <x:c r="E62" t="n">
        <x:f>E26</x:f>
        <x:v>340.2751851851852</x:v>
      </x:c>
      <x:c r="F62" t="n">
        <x:f>F26</x:f>
        <x:v>207.83629629629627</x:v>
      </x:c>
      <x:c r="G62" t="n">
        <x:f>G26</x:f>
        <x:v>201.45185185185179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5361b8d6d7e4f04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3" t="str">
        <x:v>风电、光伏月度价格汇总</x:v>
      </x:c>
      <x:c r="B1" s="3" t="str">
        <x:v>风电、光伏月度价格汇总</x:v>
      </x:c>
      <x:c r="C1" s="3" t="str">
        <x:v>风电、光伏月度价格汇总</x:v>
      </x:c>
      <x:c r="D1" s="3" t="str">
        <x:v>风电、光伏月度价格汇总</x:v>
      </x:c>
      <x:c r="E1" s="3" t="str">
        <x:v>风电、光伏月度价格汇总</x:v>
      </x:c>
      <x:c r="F1" s="3" t="str">
        <x:v>风电、光伏月度价格汇总</x:v>
      </x:c>
    </x:row>
    <x:row r="2" ht="30" customHeight="1">
      <x:c r="A2" s="6" t="str">
        <x:v>日均价的月度算术平均，截至 2026-10-27；末月不完整。与下方官方月度加权均价口径不同。</x:v>
      </x:c>
      <x:c r="B2" s="6" t="str">
        <x:v>日均价的月度算术平均，截至 2026-10-27；末月不完整。与下方官方月度加权均价口径不同。</x:v>
      </x:c>
      <x:c r="C2" s="6" t="str">
        <x:v>日均价的月度算术平均，截至 2026-10-27；末月不完整。与下方官方月度加权均价口径不同。</x:v>
      </x:c>
      <x:c r="D2" s="6" t="str">
        <x:v>日均价的月度算术平均，截至 2026-10-27；末月不完整。与下方官方月度加权均价口径不同。</x:v>
      </x:c>
      <x:c r="E2" s="6" t="str">
        <x:v>日均价的月度算术平均，截至 2026-10-27；末月不完整。与下方官方月度加权均价口径不同。</x:v>
      </x:c>
      <x:c r="F2" s="6" t="str">
        <x:v>日均价的月度算术平均，截至 2026-10-27；末月不完整。与下方官方月度加权均价口径不同。</x:v>
      </x:c>
      <x:c r="G2" s="6" t="str">
        <x:v>日均价的月度算术平均，截至 2026-10-27；末月不完整。与下方官方月度加权均价口径不同。</x:v>
      </x:c>
      <x:c r="H2" s="6" t="str">
        <x:v>日均价的月度算术平均，截至 2026-10-27；末月不完整。与下方官方月度加权均价口径不同。</x:v>
      </x:c>
    </x:row>
    <x:row r="3">
      <x:c r="A3" s="60"/>
      <x:c r="B3" s="60"/>
      <x:c r="C3" s="60"/>
      <x:c r="D3" s="60"/>
      <x:c r="E3" s="60"/>
      <x:c r="F3" s="60"/>
    </x:row>
    <x:row r="4" ht="30" customHeight="1">
      <x:c r="A4" s="27" t="str">
        <x:v>月份</x:v>
      </x:c>
      <x:c r="B4" s="27" t="str">
        <x:v>风电日前</x:v>
      </x:c>
      <x:c r="C4" s="27" t="str">
        <x:v>光伏日前</x:v>
      </x:c>
      <x:c r="D4" s="27" t="str">
        <x:v>风电实时</x:v>
      </x:c>
      <x:c r="E4" s="27" t="str">
        <x:v>光伏实时</x:v>
      </x:c>
      <x:c r="F4" s="27" t="str">
        <x:v>有效披露日</x:v>
      </x:c>
    </x:row>
    <x:row r="5">
      <x:c r="A5" s="57" t="d">
        <x:v>2025-01-01T00:00:00.000Z</x:v>
      </x:c>
      <x:c r="B5" s="58" t="str">
        <x:f>""</x:f>
      </x:c>
      <x:c r="C5" s="58" t="str">
        <x:f>""</x:f>
      </x:c>
      <x:c r="D5" s="58" t="str">
        <x:f>""</x:f>
      </x:c>
      <x:c r="E5" s="58" t="str">
        <x:f>""</x:f>
      </x:c>
      <x:c r="F5" s="59" t="n">
        <x:f>COUNT('风光分项'!$B$2:$B$32)</x:f>
        <x:v>0</x:v>
      </x:c>
    </x:row>
    <x:row r="6">
      <x:c r="A6" s="57" t="d">
        <x:v>2025-02-01T00:00:00.000Z</x:v>
      </x:c>
      <x:c r="B6" s="58" t="str">
        <x:f>""</x:f>
      </x:c>
      <x:c r="C6" s="58" t="str">
        <x:f>""</x:f>
      </x:c>
      <x:c r="D6" s="58" t="str">
        <x:f>""</x:f>
      </x:c>
      <x:c r="E6" s="58" t="str">
        <x:f>""</x:f>
      </x:c>
      <x:c r="F6" s="59" t="n">
        <x:f>COUNT('风光分项'!$B$33:$B$60)</x:f>
        <x:v>0</x:v>
      </x:c>
    </x:row>
    <x:row r="7">
      <x:c r="A7" s="57" t="d">
        <x:v>2025-03-01T00:00:00.000Z</x:v>
      </x:c>
      <x:c r="B7" s="58" t="str">
        <x:f>""</x:f>
      </x:c>
      <x:c r="C7" s="58" t="str">
        <x:f>""</x:f>
      </x:c>
      <x:c r="D7" s="58" t="str">
        <x:f>""</x:f>
      </x:c>
      <x:c r="E7" s="58" t="str">
        <x:f>""</x:f>
      </x:c>
      <x:c r="F7" s="59" t="n">
        <x:f>COUNT('风光分项'!$B$61:$B$91)</x:f>
        <x:v>0</x:v>
      </x:c>
    </x:row>
    <x:row r="8">
      <x:c r="A8" s="57" t="d">
        <x:v>2025-04-01T00:00:00.000Z</x:v>
      </x:c>
      <x:c r="B8" s="58" t="n">
        <x:f>AVERAGE('风光分项'!$B$92:$B$121)</x:f>
        <x:v>163.5756</x:v>
      </x:c>
      <x:c r="C8" s="58" t="n">
        <x:f>AVERAGE('风光分项'!$C$92:$C$121)</x:f>
        <x:v>67.234</x:v>
      </x:c>
      <x:c r="D8" s="58" t="n">
        <x:f>AVERAGE('风光分项'!$D$92:$D$121)</x:f>
        <x:v>174.95320000000004</x:v>
      </x:c>
      <x:c r="E8" s="58" t="n">
        <x:f>AVERAGE('风光分项'!$E$92:$E$121)</x:f>
        <x:v>89.1388</x:v>
      </x:c>
      <x:c r="F8" s="59" t="n">
        <x:f>COUNT('风光分项'!$B$92:$B$121)</x:f>
        <x:v>25</x:v>
      </x:c>
    </x:row>
    <x:row r="9">
      <x:c r="A9" s="57" t="d">
        <x:v>2025-05-01T00:00:00.000Z</x:v>
      </x:c>
      <x:c r="B9" s="58" t="n">
        <x:f>AVERAGE('风光分项'!$B$122:$B$152)</x:f>
        <x:v>168.90870967741935</x:v>
      </x:c>
      <x:c r="C9" s="58" t="n">
        <x:f>AVERAGE('风光分项'!$C$122:$C$152)</x:f>
        <x:v>83.14838709677421</x:v>
      </x:c>
      <x:c r="D9" s="58" t="n">
        <x:f>AVERAGE('风光分项'!$D$122:$D$152)</x:f>
        <x:v>166.39999999999998</x:v>
      </x:c>
      <x:c r="E9" s="58" t="n">
        <x:f>AVERAGE('风光分项'!$E$122:$E$152)</x:f>
        <x:v>100.37645161290322</x:v>
      </x:c>
      <x:c r="F9" s="59" t="n">
        <x:f>COUNT('风光分项'!$B$122:$B$152)</x:f>
        <x:v>31</x:v>
      </x:c>
    </x:row>
    <x:row r="10">
      <x:c r="A10" s="57" t="d">
        <x:v>2025-06-01T00:00:00.000Z</x:v>
      </x:c>
      <x:c r="B10" s="58" t="n">
        <x:f>AVERAGE('风光分项'!$B$153:$B$182)</x:f>
        <x:v>190.5936666666667</x:v>
      </x:c>
      <x:c r="C10" s="58" t="n">
        <x:f>AVERAGE('风光分项'!$C$153:$C$182)</x:f>
        <x:v>94.52966666666664</x:v>
      </x:c>
      <x:c r="D10" s="58" t="n">
        <x:f>AVERAGE('风光分项'!$D$153:$D$182)</x:f>
        <x:v>219.1043333333333</x:v>
      </x:c>
      <x:c r="E10" s="58" t="n">
        <x:f>AVERAGE('风光分项'!$E$153:$E$182)</x:f>
        <x:v>119.65733333333334</x:v>
      </x:c>
      <x:c r="F10" s="59" t="n">
        <x:f>COUNT('风光分项'!$B$153:$B$182)</x:f>
        <x:v>30</x:v>
      </x:c>
    </x:row>
    <x:row r="11">
      <x:c r="A11" s="57" t="d">
        <x:v>2025-07-01T00:00:00.000Z</x:v>
      </x:c>
      <x:c r="B11" s="58" t="n">
        <x:f>AVERAGE('风光分项'!$B$183:$B$213)</x:f>
        <x:v>185.99709677419358</x:v>
      </x:c>
      <x:c r="C11" s="58" t="n">
        <x:f>AVERAGE('风光分项'!$C$183:$C$213)</x:f>
        <x:v>100.01741935483872</x:v>
      </x:c>
      <x:c r="D11" s="58" t="n">
        <x:f>AVERAGE('风光分项'!$D$183:$D$213)</x:f>
        <x:v>200.53903225806454</x:v>
      </x:c>
      <x:c r="E11" s="58" t="n">
        <x:f>AVERAGE('风光分项'!$E$183:$E$213)</x:f>
        <x:v>129.2641935483871</x:v>
      </x:c>
      <x:c r="F11" s="59" t="n">
        <x:f>COUNT('风光分项'!$B$183:$B$213)</x:f>
        <x:v>31</x:v>
      </x:c>
    </x:row>
    <x:row r="12">
      <x:c r="A12" s="57" t="d">
        <x:v>2025-08-01T00:00:00.000Z</x:v>
      </x:c>
      <x:c r="B12" s="58" t="n">
        <x:f>AVERAGE('风光分项'!$B$214:$B$244)</x:f>
        <x:v>215.53903225806448</x:v>
      </x:c>
      <x:c r="C12" s="58" t="n">
        <x:f>AVERAGE('风光分项'!$C$214:$C$244)</x:f>
        <x:v>114.6316129032258</x:v>
      </x:c>
      <x:c r="D12" s="58" t="n">
        <x:f>AVERAGE('风光分项'!$D$214:$D$244)</x:f>
        <x:v>225.62483870967742</x:v>
      </x:c>
      <x:c r="E12" s="58" t="n">
        <x:f>AVERAGE('风光分项'!$E$214:$E$244)</x:f>
        <x:v>147.16935483870967</x:v>
      </x:c>
      <x:c r="F12" s="59" t="n">
        <x:f>COUNT('风光分项'!$B$214:$B$244)</x:f>
        <x:v>31</x:v>
      </x:c>
    </x:row>
    <x:row r="13">
      <x:c r="A13" s="57" t="d">
        <x:v>2025-09-01T00:00:00.000Z</x:v>
      </x:c>
      <x:c r="B13" s="58" t="n">
        <x:f>AVERAGE('风光分项'!$B$245:$B$274)</x:f>
        <x:v>115.657</x:v>
      </x:c>
      <x:c r="C13" s="58" t="n">
        <x:f>AVERAGE('风光分项'!$C$245:$C$274)</x:f>
        <x:v>82.10233333333332</x:v>
      </x:c>
      <x:c r="D13" s="58" t="n">
        <x:f>AVERAGE('风光分项'!$D$245:$D$274)</x:f>
        <x:v>147.75833333333333</x:v>
      </x:c>
      <x:c r="E13" s="58" t="n">
        <x:f>AVERAGE('风光分项'!$E$245:$E$274)</x:f>
        <x:v>174.17266666666666</x:v>
      </x:c>
      <x:c r="F13" s="59" t="n">
        <x:f>COUNT('风光分项'!$B$245:$B$274)</x:f>
        <x:v>30</x:v>
      </x:c>
    </x:row>
    <x:row r="14">
      <x:c r="A14" s="57" t="d">
        <x:v>2025-10-01T00:00:00.000Z</x:v>
      </x:c>
      <x:c r="B14" s="58" t="n">
        <x:f>AVERAGE('风光分项'!$B$275:$B$305)</x:f>
        <x:v>215.95000000000002</x:v>
      </x:c>
      <x:c r="C14" s="58" t="n">
        <x:f>AVERAGE('风光分项'!$C$275:$C$305)</x:f>
        <x:v>131.66516129032254</x:v>
      </x:c>
      <x:c r="D14" s="58" t="n">
        <x:f>AVERAGE('风光分项'!$D$275:$D$305)</x:f>
        <x:v>254.67354838709682</x:v>
      </x:c>
      <x:c r="E14" s="58" t="n">
        <x:f>AVERAGE('风光分项'!$E$275:$E$305)</x:f>
        <x:v>232.27516129032261</x:v>
      </x:c>
      <x:c r="F14" s="59" t="n">
        <x:f>COUNT('风光分项'!$B$275:$B$305)</x:f>
        <x:v>31</x:v>
      </x:c>
    </x:row>
    <x:row r="15">
      <x:c r="A15" s="57" t="d">
        <x:v>2025-11-01T00:00:00.000Z</x:v>
      </x:c>
      <x:c r="B15" s="58" t="n">
        <x:f>AVERAGE('风光分项'!$B$306:$B$335)</x:f>
        <x:v>143.93724137931036</x:v>
      </x:c>
      <x:c r="C15" s="58" t="n">
        <x:f>AVERAGE('风光分项'!$C$306:$C$335)</x:f>
        <x:v>69.48172413793104</x:v>
      </x:c>
      <x:c r="D15" s="58" t="n">
        <x:f>AVERAGE('风光分项'!$D$306:$D$335)</x:f>
        <x:v>165.09000000000003</x:v>
      </x:c>
      <x:c r="E15" s="58" t="n">
        <x:f>AVERAGE('风光分项'!$E$306:$E$335)</x:f>
        <x:v>83.2403448275862</x:v>
      </x:c>
      <x:c r="F15" s="59" t="n">
        <x:f>COUNT('风光分项'!$B$306:$B$335)</x:f>
        <x:v>29</x:v>
      </x:c>
    </x:row>
    <x:row r="16">
      <x:c r="A16" s="57" t="d">
        <x:v>2025-12-01T00:00:00.000Z</x:v>
      </x:c>
      <x:c r="B16" s="58" t="n">
        <x:f>AVERAGE('风光分项'!$B$336:$B$366)</x:f>
        <x:v>214.18225806451613</x:v>
      </x:c>
      <x:c r="C16" s="58" t="n">
        <x:f>AVERAGE('风光分项'!$C$336:$C$366)</x:f>
        <x:v>70.13064516129033</x:v>
      </x:c>
      <x:c r="D16" s="58" t="n">
        <x:f>AVERAGE('风光分项'!$D$336:$D$366)</x:f>
        <x:v>207.26774193548383</x:v>
      </x:c>
      <x:c r="E16" s="58" t="n">
        <x:f>AVERAGE('风光分项'!$E$336:$E$366)</x:f>
        <x:v>90.69064516129032</x:v>
      </x:c>
      <x:c r="F16" s="59" t="n">
        <x:f>COUNT('风光分项'!$B$336:$B$366)</x:f>
        <x:v>31</x:v>
      </x:c>
    </x:row>
    <x:row r="17">
      <x:c r="A17" s="57" t="d">
        <x:v>2026-01-01T00:00:00.000Z</x:v>
      </x:c>
      <x:c r="B17" s="58" t="n">
        <x:f>AVERAGE('风光分项'!$B$367:$B$397)</x:f>
        <x:v>276.4296774193549</x:v>
      </x:c>
      <x:c r="C17" s="58" t="n">
        <x:f>AVERAGE('风光分项'!$C$367:$C$397)</x:f>
        <x:v>124.15709677419356</x:v>
      </x:c>
      <x:c r="D17" s="58" t="n">
        <x:f>AVERAGE('风光分项'!$D$367:$D$397)</x:f>
        <x:v>256.7512903225807</x:v>
      </x:c>
      <x:c r="E17" s="58" t="n">
        <x:f>AVERAGE('风光分项'!$E$367:$E$397)</x:f>
        <x:v>144.01709677419353</x:v>
      </x:c>
      <x:c r="F17" s="59" t="n">
        <x:f>COUNT('风光分项'!$B$367:$B$397)</x:f>
        <x:v>31</x:v>
      </x:c>
    </x:row>
    <x:row r="18">
      <x:c r="A18" s="57" t="d">
        <x:v>2026-02-01T00:00:00.000Z</x:v>
      </x:c>
      <x:c r="B18" s="58" t="n">
        <x:f>AVERAGE('风光分项'!$B$398:$B$425)</x:f>
        <x:v>199.04142857142867</x:v>
      </x:c>
      <x:c r="C18" s="58" t="n">
        <x:f>AVERAGE('风光分项'!$C$398:$C$425)</x:f>
        <x:v>43.85642857142858</x:v>
      </x:c>
      <x:c r="D18" s="58" t="n">
        <x:f>AVERAGE('风光分项'!$D$398:$D$425)</x:f>
        <x:v>179.10071428571428</x:v>
      </x:c>
      <x:c r="E18" s="58" t="n">
        <x:f>AVERAGE('风光分项'!$E$398:$E$425)</x:f>
        <x:v>55.83678571428571</x:v>
      </x:c>
      <x:c r="F18" s="59" t="n">
        <x:f>COUNT('风光分项'!$B$398:$B$425)</x:f>
        <x:v>28</x:v>
      </x:c>
    </x:row>
    <x:row r="19">
      <x:c r="A19" s="57" t="d">
        <x:v>2026-03-01T00:00:00.000Z</x:v>
      </x:c>
      <x:c r="B19" s="58" t="n">
        <x:f>AVERAGE('风光分项'!$B$426:$B$456)</x:f>
        <x:v>209.31419354838715</x:v>
      </x:c>
      <x:c r="C19" s="58" t="n">
        <x:f>AVERAGE('风光分项'!$C$426:$C$456)</x:f>
        <x:v>91.81806451612904</x:v>
      </x:c>
      <x:c r="D19" s="58" t="n">
        <x:f>AVERAGE('风光分项'!$D$426:$D$456)</x:f>
        <x:v>191.89419354838714</x:v>
      </x:c>
      <x:c r="E19" s="58" t="n">
        <x:f>AVERAGE('风光分项'!$E$426:$E$456)</x:f>
        <x:v>102.58967741935486</x:v>
      </x:c>
      <x:c r="F19" s="59" t="n">
        <x:f>COUNT('风光分项'!$B$426:$B$456)</x:f>
        <x:v>31</x:v>
      </x:c>
    </x:row>
    <x:row r="20">
      <x:c r="A20" s="57" t="d">
        <x:v>2026-04-01T00:00:00.000Z</x:v>
      </x:c>
      <x:c r="B20" s="58" t="n">
        <x:f>AVERAGE('风光分项'!$B$457:$B$486)</x:f>
        <x:v>151.50500000000005</x:v>
      </x:c>
      <x:c r="C20" s="58" t="n">
        <x:f>AVERAGE('风光分项'!$C$457:$C$486)</x:f>
        <x:v>34.504</x:v>
      </x:c>
      <x:c r="D20" s="58" t="n">
        <x:f>AVERAGE('风光分项'!$D$457:$D$486)</x:f>
        <x:v>146.51033333333334</x:v>
      </x:c>
      <x:c r="E20" s="58" t="n">
        <x:f>AVERAGE('风光分项'!$E$457:$E$486)</x:f>
        <x:v>50.53666666666668</x:v>
      </x:c>
      <x:c r="F20" s="59" t="n">
        <x:f>COUNT('风光分项'!$B$457:$B$486)</x:f>
        <x:v>30</x:v>
      </x:c>
    </x:row>
    <x:row r="21">
      <x:c r="A21" s="57" t="d">
        <x:v>2026-05-01T00:00:00.000Z</x:v>
      </x:c>
      <x:c r="B21" s="58" t="n">
        <x:f>AVERAGE('风光分项'!$B$487:$B$517)</x:f>
        <x:v>131.86709677419353</x:v>
      </x:c>
      <x:c r="C21" s="58" t="n">
        <x:f>AVERAGE('风光分项'!$C$487:$C$517)</x:f>
        <x:v>34.535483870967745</x:v>
      </x:c>
      <x:c r="D21" s="58" t="n">
        <x:f>AVERAGE('风光分项'!$D$487:$D$517)</x:f>
        <x:v>126.69129032258064</x:v>
      </x:c>
      <x:c r="E21" s="58" t="n">
        <x:f>AVERAGE('风光分项'!$E$487:$E$517)</x:f>
        <x:v>40.263870967741944</x:v>
      </x:c>
      <x:c r="F21" s="59" t="n">
        <x:f>COUNT('风光分项'!$B$487:$B$517)</x:f>
        <x:v>31</x:v>
      </x:c>
    </x:row>
    <x:row r="22">
      <x:c r="A22" s="57" t="d">
        <x:v>2026-06-01T00:00:00.000Z</x:v>
      </x:c>
      <x:c r="B22" s="58" t="n">
        <x:f>AVERAGE('风光分项'!$B$518:$B$547)</x:f>
        <x:v>185.49466666666663</x:v>
      </x:c>
      <x:c r="C22" s="58" t="n">
        <x:f>AVERAGE('风光分项'!$C$518:$C$547)</x:f>
        <x:v>62.415333333333336</x:v>
      </x:c>
      <x:c r="D22" s="58" t="n">
        <x:f>AVERAGE('风光分项'!$D$518:$D$547)</x:f>
        <x:v>168.4656666666667</x:v>
      </x:c>
      <x:c r="E22" s="58" t="n">
        <x:f>AVERAGE('风光分项'!$E$518:$E$547)</x:f>
        <x:v>63.11600000000001</x:v>
      </x:c>
      <x:c r="F22" s="59" t="n">
        <x:f>COUNT('风光分项'!$B$518:$B$547)</x:f>
        <x:v>30</x:v>
      </x:c>
    </x:row>
    <x:row r="23">
      <x:c r="A23" s="57" t="d">
        <x:v>2026-07-01T00:00:00.000Z</x:v>
      </x:c>
      <x:c r="B23" s="58" t="n">
        <x:f>AVERAGE('风光分项'!$B$548:$B$578)</x:f>
        <x:v>307.29774193548394</x:v>
      </x:c>
      <x:c r="C23" s="58" t="n">
        <x:f>AVERAGE('风光分项'!$C$548:$C$578)</x:f>
        <x:v>154.7448387096774</x:v>
      </x:c>
      <x:c r="D23" s="58" t="n">
        <x:f>AVERAGE('风光分项'!$D$548:$D$578)</x:f>
        <x:v>298.8835483870967</x:v>
      </x:c>
      <x:c r="E23" s="58" t="n">
        <x:f>AVERAGE('风光分项'!$E$548:$E$578)</x:f>
        <x:v>166.151935483871</x:v>
      </x:c>
      <x:c r="F23" s="59" t="n">
        <x:f>COUNT('风光分项'!$B$548:$B$578)</x:f>
        <x:v>31</x:v>
      </x:c>
    </x:row>
    <x:row r="24">
      <x:c r="A24" s="57" t="d">
        <x:v>2026-08-01T00:00:00.000Z</x:v>
      </x:c>
      <x:c r="B24" s="58" t="n">
        <x:f>AVERAGE('风光分项'!$B$579:$B$609)</x:f>
        <x:v>241.15827586206896</x:v>
      </x:c>
      <x:c r="C24" s="58" t="n">
        <x:f>AVERAGE('风光分项'!$C$579:$C$609)</x:f>
        <x:v>101.69</x:v>
      </x:c>
      <x:c r="D24" s="58" t="n">
        <x:f>AVERAGE('风光分项'!$D$579:$D$609)</x:f>
        <x:v>230.72068965517244</x:v>
      </x:c>
      <x:c r="E24" s="58" t="n">
        <x:f>AVERAGE('风光分项'!$E$579:$E$609)</x:f>
        <x:v>105.73379310344826</x:v>
      </x:c>
      <x:c r="F24" s="59" t="n">
        <x:f>COUNT('风光分项'!$B$579:$B$609)</x:f>
        <x:v>29</x:v>
      </x:c>
    </x:row>
    <x:row r="25">
      <x:c r="A25" s="57" t="d">
        <x:v>2026-09-01T00:00:00.000Z</x:v>
      </x:c>
      <x:c r="B25" s="58" t="n">
        <x:f>AVERAGE('风光分项'!$B$610:$B$639)</x:f>
        <x:v>310.44800000000004</x:v>
      </x:c>
      <x:c r="C25" s="58" t="n">
        <x:f>AVERAGE('风光分项'!$C$610:$C$639)</x:f>
        <x:v>149.99633333333338</x:v>
      </x:c>
      <x:c r="D25" s="58" t="n">
        <x:f>AVERAGE('风光分项'!$D$610:$D$639)</x:f>
        <x:v>324.6353333333334</x:v>
      </x:c>
      <x:c r="E25" s="58" t="n">
        <x:f>AVERAGE('风光分项'!$E$610:$E$639)</x:f>
        <x:v>189.23399999999998</x:v>
      </x:c>
      <x:c r="F25" s="59" t="n">
        <x:f>COUNT('风光分项'!$B$610:$B$639)</x:f>
        <x:v>30</x:v>
      </x:c>
    </x:row>
    <x:row r="26">
      <x:c r="A26" s="57" t="d">
        <x:v>2026-10-01T00:00:00.000Z</x:v>
      </x:c>
      <x:c r="B26" s="58" t="n">
        <x:f>AVERAGE('风光分项'!$B$640:$B$666)</x:f>
        <x:v>313.8862962962963</x:v>
      </x:c>
      <x:c r="C26" s="58" t="n">
        <x:f>AVERAGE('风光分项'!$C$640:$C$666)</x:f>
        <x:v>121.75777777777776</x:v>
      </x:c>
      <x:c r="D26" s="58" t="n">
        <x:f>AVERAGE('风光分项'!$D$640:$D$666)</x:f>
        <x:v>307.60185185185185</x:v>
      </x:c>
      <x:c r="E26" s="58" t="n">
        <x:f>AVERAGE('风光分项'!$E$640:$E$666)</x:f>
        <x:v>121.88259259259259</x:v>
      </x:c>
      <x:c r="F26" s="59" t="n">
        <x:f>COUNT('风光分项'!$B$640:$B$666)</x:f>
        <x:v>27</x:v>
      </x:c>
    </x:row>
    <x:row r="28">
      <x:c r="A28" s="7" t="str">
        <x:v>官方月度实时出清加权均价（独立披露口径）</x:v>
      </x:c>
      <x:c r="B28" s="7" t="str">
        <x:v>官方月度实时出清加权均价（独立披露口径）</x:v>
      </x:c>
      <x:c r="C28" s="7" t="str">
        <x:v>官方月度实时出清加权均价（独立披露口径）</x:v>
      </x:c>
      <x:c r="D28" s="7" t="str">
        <x:v>官方月度实时出清加权均价（独立披露口径）</x:v>
      </x:c>
      <x:c r="E28" s="7" t="str">
        <x:v>官方月度实时出清加权均价（独立披露口径）</x:v>
      </x:c>
      <x:c r="F28" s="7" t="str">
        <x:v>官方月度实时出清加权均价（独立披露口径）</x:v>
      </x:c>
    </x:row>
    <x:row r="29" ht="30" customHeight="1">
      <x:c r="A29" s="27" t="str">
        <x:v>月份</x:v>
      </x:c>
      <x:c r="B29" s="27" t="str">
        <x:v>风电实时</x:v>
      </x:c>
      <x:c r="C29" s="27" t="str">
        <x:v>光伏实时</x:v>
      </x:c>
      <x:c r="D29" s="27" t="str">
        <x:v>单位</x:v>
      </x:c>
      <x:c r="E29" s="27" t="str">
        <x:v>发布日期</x:v>
      </x:c>
      <x:c r="F29" s="27" t="str">
        <x:v>来源</x:v>
      </x:c>
    </x:row>
    <x:row r="30">
      <x:c r="A30" s="52" t="d">
        <x:v>2026-08-01T00:00:00.000Z</x:v>
      </x:c>
      <x:c r="B30" s="61" t="n">
        <x:v>207.479</x:v>
      </x:c>
      <x:c r="C30" s="61" t="n">
        <x:v>92.095</x:v>
      </x:c>
      <x:c r="D30" t="str">
        <x:v>元/MWh</x:v>
      </x:c>
      <x:c r="E30" s="13" t="d">
        <x:v>2026-09-04T00:00:00.000Z</x:v>
      </x:c>
      <x:c r="F30" t="str">
        <x:v>PMOS官方披露</x:v>
      </x:c>
    </x:row>
    <x:row r="31">
      <x:c r="A31" s="52" t="d">
        <x:v>2026-09-01T00:00:00.000Z</x:v>
      </x:c>
      <x:c r="B31" s="61" t="n">
        <x:v>312.898</x:v>
      </x:c>
      <x:c r="C31" s="61" t="n">
        <x:v>154.208</x:v>
      </x:c>
      <x:c r="D31" t="str">
        <x:v>元/MWh</x:v>
      </x:c>
      <x:c r="E31" s="13" t="d">
        <x:v>2026-10-13T00:00:00.000Z</x:v>
      </x:c>
      <x:c r="F31" t="str">
        <x:v>PMOS官方披露</x:v>
      </x:c>
    </x:row>
    <x:row r="33">
      <x:c r="A33" s="45" t="str">
        <x:v>官方月度加权均价不能拆成逐日价格，也不等于每日均价的算术平均。当前仅保存已逐项核实的官方月度记录；原文见来源页S5。</x:v>
      </x:c>
      <x:c r="B33" s="45" t="str">
        <x:v>官方月度加权均价不能拆成逐日价格，也不等于每日均价的算术平均。当前仅保存已逐项核实的官方月度记录；原文见来源页S5。</x:v>
      </x:c>
      <x:c r="C33" s="45" t="str">
        <x:v>官方月度加权均价不能拆成逐日价格，也不等于每日均价的算术平均。当前仅保存已逐项核实的官方月度记录；原文见来源页S5。</x:v>
      </x:c>
      <x:c r="D33" s="45" t="str">
        <x:v>官方月度加权均价不能拆成逐日价格，也不等于每日均价的算术平均。当前仅保存已逐项核实的官方月度记录；原文见来源页S5。</x:v>
      </x:c>
      <x:c r="E33" s="45" t="str">
        <x:v>官方月度加权均价不能拆成逐日价格，也不等于每日均价的算术平均。当前仅保存已逐项核实的官方月度记录；原文见来源页S5。</x:v>
      </x:c>
      <x:c r="F33" s="45" t="str">
        <x:v>官方月度加权均价不能拆成逐日价格，也不等于每日均价的算术平均。当前仅保存已逐项核实的官方月度记录；原文见来源页S5。</x:v>
      </x:c>
    </x:row>
    <x:row r="34">
      <x:c r="A34" s="45" t="str">
        <x:v>官方月度加权均价不能拆成逐日价格，也不等于每日均价的算术平均。当前仅保存已逐项核实的官方月度记录；原文见来源页S5。</x:v>
      </x:c>
      <x:c r="B34" s="45" t="str">
        <x:v>官方月度加权均价不能拆成逐日价格，也不等于每日均价的算术平均。当前仅保存已逐项核实的官方月度记录；原文见来源页S5。</x:v>
      </x:c>
      <x:c r="C34" s="45" t="str">
        <x:v>官方月度加权均价不能拆成逐日价格，也不等于每日均价的算术平均。当前仅保存已逐项核实的官方月度记录；原文见来源页S5。</x:v>
      </x:c>
      <x:c r="D34" s="45" t="str">
        <x:v>官方月度加权均价不能拆成逐日价格，也不等于每日均价的算术平均。当前仅保存已逐项核实的官方月度记录；原文见来源页S5。</x:v>
      </x:c>
      <x:c r="E34" s="45" t="str">
        <x:v>官方月度加权均价不能拆成逐日价格，也不等于每日均价的算术平均。当前仅保存已逐项核实的官方月度记录；原文见来源页S5。</x:v>
      </x:c>
      <x:c r="F34" s="45" t="str">
        <x:v>官方月度加权均价不能拆成逐日价格，也不等于每日均价的算术平均。当前仅保存已逐项核实的官方月度记录；原文见来源页S5。</x:v>
      </x:c>
    </x:row>
    <x:row r="35">
      <x:c r="A35" s="45" t="str">
        <x:v>官方月度加权均价不能拆成逐日价格，也不等于每日均价的算术平均。当前仅保存已逐项核实的官方月度记录；原文见来源页S5。</x:v>
      </x:c>
      <x:c r="B35" s="45" t="str">
        <x:v>官方月度加权均价不能拆成逐日价格，也不等于每日均价的算术平均。当前仅保存已逐项核实的官方月度记录；原文见来源页S5。</x:v>
      </x:c>
      <x:c r="C35" s="45" t="str">
        <x:v>官方月度加权均价不能拆成逐日价格，也不等于每日均价的算术平均。当前仅保存已逐项核实的官方月度记录；原文见来源页S5。</x:v>
      </x:c>
      <x:c r="D35" s="45" t="str">
        <x:v>官方月度加权均价不能拆成逐日价格，也不等于每日均价的算术平均。当前仅保存已逐项核实的官方月度记录；原文见来源页S5。</x:v>
      </x:c>
      <x:c r="E35" s="45" t="str">
        <x:v>官方月度加权均价不能拆成逐日价格，也不等于每日均价的算术平均。当前仅保存已逐项核实的官方月度记录；原文见来源页S5。</x:v>
      </x:c>
      <x:c r="F35" s="45" t="str">
        <x:v>官方月度加权均价不能拆成逐日价格，也不等于每日均价的算术平均。当前仅保存已逐项核实的官方月度记录；原文见来源页S5。</x:v>
      </x:c>
    </x:row>
    <x:row r="40">
      <x:c r="A40" t="str">
        <x:v>月份标签</x:v>
      </x:c>
      <x:c r="B40" t="str">
        <x:v>风电日前</x:v>
      </x:c>
      <x:c r="C40" t="str">
        <x:v>光伏日前</x:v>
      </x:c>
      <x:c r="D40" t="str">
        <x:v>风电实时</x:v>
      </x:c>
      <x:c r="E40" t="str">
        <x:v>光伏实时</x:v>
      </x:c>
    </x:row>
    <x:row r="41">
      <x:c r="A41" t="str">
        <x:f>TEXT(A8,"yyyy-mm")</x:f>
        <x:v>2025-04</x:v>
      </x:c>
      <x:c r="B41" t="n">
        <x:f>B8</x:f>
        <x:v>163.5756</x:v>
      </x:c>
      <x:c r="C41" t="n">
        <x:f>C8</x:f>
        <x:v>67.234</x:v>
      </x:c>
      <x:c r="D41" t="n">
        <x:f>D8</x:f>
        <x:v>174.95320000000004</x:v>
      </x:c>
      <x:c r="E41" t="n">
        <x:f>E8</x:f>
        <x:v>89.1388</x:v>
      </x:c>
    </x:row>
    <x:row r="42">
      <x:c r="A42" t="str">
        <x:f>TEXT(A9,"yyyy-mm")</x:f>
        <x:v>2025-05</x:v>
      </x:c>
      <x:c r="B42" t="n">
        <x:f>B9</x:f>
        <x:v>168.90870967741935</x:v>
      </x:c>
      <x:c r="C42" t="n">
        <x:f>C9</x:f>
        <x:v>83.14838709677421</x:v>
      </x:c>
      <x:c r="D42" t="n">
        <x:f>D9</x:f>
        <x:v>166.39999999999998</x:v>
      </x:c>
      <x:c r="E42" t="n">
        <x:f>E9</x:f>
        <x:v>100.37645161290322</x:v>
      </x:c>
    </x:row>
    <x:row r="43">
      <x:c r="A43" t="str">
        <x:f>TEXT(A10,"yyyy-mm")</x:f>
        <x:v>2025-06</x:v>
      </x:c>
      <x:c r="B43" t="n">
        <x:f>B10</x:f>
        <x:v>190.5936666666667</x:v>
      </x:c>
      <x:c r="C43" t="n">
        <x:f>C10</x:f>
        <x:v>94.52966666666664</x:v>
      </x:c>
      <x:c r="D43" t="n">
        <x:f>D10</x:f>
        <x:v>219.1043333333333</x:v>
      </x:c>
      <x:c r="E43" t="n">
        <x:f>E10</x:f>
        <x:v>119.65733333333334</x:v>
      </x:c>
    </x:row>
    <x:row r="44">
      <x:c r="A44" t="str">
        <x:f>TEXT(A11,"yyyy-mm")</x:f>
        <x:v>2025-07</x:v>
      </x:c>
      <x:c r="B44" t="n">
        <x:f>B11</x:f>
        <x:v>185.99709677419358</x:v>
      </x:c>
      <x:c r="C44" t="n">
        <x:f>C11</x:f>
        <x:v>100.01741935483872</x:v>
      </x:c>
      <x:c r="D44" t="n">
        <x:f>D11</x:f>
        <x:v>200.53903225806454</x:v>
      </x:c>
      <x:c r="E44" t="n">
        <x:f>E11</x:f>
        <x:v>129.2641935483871</x:v>
      </x:c>
    </x:row>
    <x:row r="45">
      <x:c r="A45" t="str">
        <x:f>TEXT(A12,"yyyy-mm")</x:f>
        <x:v>2025-08</x:v>
      </x:c>
      <x:c r="B45" t="n">
        <x:f>B12</x:f>
        <x:v>215.53903225806448</x:v>
      </x:c>
      <x:c r="C45" t="n">
        <x:f>C12</x:f>
        <x:v>114.6316129032258</x:v>
      </x:c>
      <x:c r="D45" t="n">
        <x:f>D12</x:f>
        <x:v>225.62483870967742</x:v>
      </x:c>
      <x:c r="E45" t="n">
        <x:f>E12</x:f>
        <x:v>147.16935483870967</x:v>
      </x:c>
    </x:row>
    <x:row r="46">
      <x:c r="A46" t="str">
        <x:f>TEXT(A13,"yyyy-mm")</x:f>
        <x:v>2025-09</x:v>
      </x:c>
      <x:c r="B46" t="n">
        <x:f>B13</x:f>
        <x:v>115.657</x:v>
      </x:c>
      <x:c r="C46" t="n">
        <x:f>C13</x:f>
        <x:v>82.10233333333332</x:v>
      </x:c>
      <x:c r="D46" t="n">
        <x:f>D13</x:f>
        <x:v>147.75833333333333</x:v>
      </x:c>
      <x:c r="E46" t="n">
        <x:f>E13</x:f>
        <x:v>174.17266666666666</x:v>
      </x:c>
    </x:row>
    <x:row r="47">
      <x:c r="A47" t="str">
        <x:f>TEXT(A14,"yyyy-mm")</x:f>
        <x:v>2025-10</x:v>
      </x:c>
      <x:c r="B47" t="n">
        <x:f>B14</x:f>
        <x:v>215.95000000000002</x:v>
      </x:c>
      <x:c r="C47" t="n">
        <x:f>C14</x:f>
        <x:v>131.66516129032254</x:v>
      </x:c>
      <x:c r="D47" t="n">
        <x:f>D14</x:f>
        <x:v>254.67354838709682</x:v>
      </x:c>
      <x:c r="E47" t="n">
        <x:f>E14</x:f>
        <x:v>232.27516129032261</x:v>
      </x:c>
    </x:row>
    <x:row r="48">
      <x:c r="A48" t="str">
        <x:f>TEXT(A15,"yyyy-mm")</x:f>
        <x:v>2025-11</x:v>
      </x:c>
      <x:c r="B48" t="n">
        <x:f>B15</x:f>
        <x:v>143.93724137931036</x:v>
      </x:c>
      <x:c r="C48" t="n">
        <x:f>C15</x:f>
        <x:v>69.48172413793104</x:v>
      </x:c>
      <x:c r="D48" t="n">
        <x:f>D15</x:f>
        <x:v>165.09000000000003</x:v>
      </x:c>
      <x:c r="E48" t="n">
        <x:f>E15</x:f>
        <x:v>83.2403448275862</x:v>
      </x:c>
    </x:row>
    <x:row r="49">
      <x:c r="A49" t="str">
        <x:f>TEXT(A16,"yyyy-mm")</x:f>
        <x:v>2025-12</x:v>
      </x:c>
      <x:c r="B49" t="n">
        <x:f>B16</x:f>
        <x:v>214.18225806451613</x:v>
      </x:c>
      <x:c r="C49" t="n">
        <x:f>C16</x:f>
        <x:v>70.13064516129033</x:v>
      </x:c>
      <x:c r="D49" t="n">
        <x:f>D16</x:f>
        <x:v>207.26774193548383</x:v>
      </x:c>
      <x:c r="E49" t="n">
        <x:f>E16</x:f>
        <x:v>90.69064516129032</x:v>
      </x:c>
    </x:row>
    <x:row r="50">
      <x:c r="A50" t="str">
        <x:f>TEXT(A17,"yyyy-mm")</x:f>
        <x:v>2026-01</x:v>
      </x:c>
      <x:c r="B50" t="n">
        <x:f>B17</x:f>
        <x:v>276.4296774193549</x:v>
      </x:c>
      <x:c r="C50" t="n">
        <x:f>C17</x:f>
        <x:v>124.15709677419356</x:v>
      </x:c>
      <x:c r="D50" t="n">
        <x:f>D17</x:f>
        <x:v>256.7512903225807</x:v>
      </x:c>
      <x:c r="E50" t="n">
        <x:f>E17</x:f>
        <x:v>144.01709677419353</x:v>
      </x:c>
    </x:row>
    <x:row r="51">
      <x:c r="A51" t="str">
        <x:f>TEXT(A18,"yyyy-mm")</x:f>
        <x:v>2026-02</x:v>
      </x:c>
      <x:c r="B51" t="n">
        <x:f>B18</x:f>
        <x:v>199.04142857142867</x:v>
      </x:c>
      <x:c r="C51" t="n">
        <x:f>C18</x:f>
        <x:v>43.85642857142858</x:v>
      </x:c>
      <x:c r="D51" t="n">
        <x:f>D18</x:f>
        <x:v>179.10071428571428</x:v>
      </x:c>
      <x:c r="E51" t="n">
        <x:f>E18</x:f>
        <x:v>55.83678571428571</x:v>
      </x:c>
    </x:row>
    <x:row r="52">
      <x:c r="A52" t="str">
        <x:f>TEXT(A19,"yyyy-mm")</x:f>
        <x:v>2026-03</x:v>
      </x:c>
      <x:c r="B52" t="n">
        <x:f>B19</x:f>
        <x:v>209.31419354838715</x:v>
      </x:c>
      <x:c r="C52" t="n">
        <x:f>C19</x:f>
        <x:v>91.81806451612904</x:v>
      </x:c>
      <x:c r="D52" t="n">
        <x:f>D19</x:f>
        <x:v>191.89419354838714</x:v>
      </x:c>
      <x:c r="E52" t="n">
        <x:f>E19</x:f>
        <x:v>102.58967741935486</x:v>
      </x:c>
    </x:row>
    <x:row r="53">
      <x:c r="A53" t="str">
        <x:f>TEXT(A20,"yyyy-mm")</x:f>
        <x:v>2026-04</x:v>
      </x:c>
      <x:c r="B53" t="n">
        <x:f>B20</x:f>
        <x:v>151.50500000000005</x:v>
      </x:c>
      <x:c r="C53" t="n">
        <x:f>C20</x:f>
        <x:v>34.504</x:v>
      </x:c>
      <x:c r="D53" t="n">
        <x:f>D20</x:f>
        <x:v>146.51033333333334</x:v>
      </x:c>
      <x:c r="E53" t="n">
        <x:f>E20</x:f>
        <x:v>50.53666666666668</x:v>
      </x:c>
    </x:row>
    <x:row r="54">
      <x:c r="A54" t="str">
        <x:f>TEXT(A21,"yyyy-mm")</x:f>
        <x:v>2026-05</x:v>
      </x:c>
      <x:c r="B54" t="n">
        <x:f>B21</x:f>
        <x:v>131.86709677419353</x:v>
      </x:c>
      <x:c r="C54" t="n">
        <x:f>C21</x:f>
        <x:v>34.535483870967745</x:v>
      </x:c>
      <x:c r="D54" t="n">
        <x:f>D21</x:f>
        <x:v>126.69129032258064</x:v>
      </x:c>
      <x:c r="E54" t="n">
        <x:f>E21</x:f>
        <x:v>40.263870967741944</x:v>
      </x:c>
    </x:row>
    <x:row r="55">
      <x:c r="A55" t="str">
        <x:f>TEXT(A22,"yyyy-mm")</x:f>
        <x:v>2026-06</x:v>
      </x:c>
      <x:c r="B55" t="n">
        <x:f>B22</x:f>
        <x:v>185.49466666666663</x:v>
      </x:c>
      <x:c r="C55" t="n">
        <x:f>C22</x:f>
        <x:v>62.415333333333336</x:v>
      </x:c>
      <x:c r="D55" t="n">
        <x:f>D22</x:f>
        <x:v>168.4656666666667</x:v>
      </x:c>
      <x:c r="E55" t="n">
        <x:f>E22</x:f>
        <x:v>63.11600000000001</x:v>
      </x:c>
    </x:row>
    <x:row r="56">
      <x:c r="A56" t="str">
        <x:f>TEXT(A23,"yyyy-mm")</x:f>
        <x:v>2026-07</x:v>
      </x:c>
      <x:c r="B56" t="n">
        <x:f>B23</x:f>
        <x:v>307.29774193548394</x:v>
      </x:c>
      <x:c r="C56" t="n">
        <x:f>C23</x:f>
        <x:v>154.7448387096774</x:v>
      </x:c>
      <x:c r="D56" t="n">
        <x:f>D23</x:f>
        <x:v>298.8835483870967</x:v>
      </x:c>
      <x:c r="E56" t="n">
        <x:f>E23</x:f>
        <x:v>166.151935483871</x:v>
      </x:c>
    </x:row>
    <x:row r="57">
      <x:c r="A57" t="str">
        <x:f>TEXT(A24,"yyyy-mm")</x:f>
        <x:v>2026-08</x:v>
      </x:c>
      <x:c r="B57" t="n">
        <x:f>B24</x:f>
        <x:v>241.15827586206896</x:v>
      </x:c>
      <x:c r="C57" t="n">
        <x:f>C24</x:f>
        <x:v>101.69</x:v>
      </x:c>
      <x:c r="D57" t="n">
        <x:f>D24</x:f>
        <x:v>230.72068965517244</x:v>
      </x:c>
      <x:c r="E57" t="n">
        <x:f>E24</x:f>
        <x:v>105.73379310344826</x:v>
      </x:c>
    </x:row>
    <x:row r="58">
      <x:c r="A58" t="str">
        <x:f>TEXT(A25,"yyyy-mm")</x:f>
        <x:v>2026-09</x:v>
      </x:c>
      <x:c r="B58" t="n">
        <x:f>B25</x:f>
        <x:v>310.44800000000004</x:v>
      </x:c>
      <x:c r="C58" t="n">
        <x:f>C25</x:f>
        <x:v>149.99633333333338</x:v>
      </x:c>
      <x:c r="D58" t="n">
        <x:f>D25</x:f>
        <x:v>324.6353333333334</x:v>
      </x:c>
      <x:c r="E58" t="n">
        <x:f>E25</x:f>
        <x:v>189.23399999999998</x:v>
      </x:c>
    </x:row>
    <x:row r="59">
      <x:c r="A59" t="str">
        <x:f>TEXT(A26,"yyyy-mm")</x:f>
        <x:v>2026-10</x:v>
      </x:c>
      <x:c r="B59" t="n">
        <x:f>B26</x:f>
        <x:v>313.8862962962963</x:v>
      </x:c>
      <x:c r="C59" t="n">
        <x:f>C26</x:f>
        <x:v>121.75777777777776</x:v>
      </x:c>
      <x:c r="D59" t="n">
        <x:f>D26</x:f>
        <x:v>307.60185185185185</x:v>
      </x:c>
      <x:c r="E59" t="n">
        <x:f>E26</x:f>
        <x:v>121.88259259259259</x:v>
      </x:c>
    </x:row>
  </x:sheetData>
  <x:mergeCells>
    <x:mergeCell ref="A1:F1"/>
    <x:mergeCell ref="A2:H2"/>
    <x:mergeCell ref="A28:F28"/>
    <x:mergeCell ref="A33:F35"/>
  </x:mergeCells>
  <x:pageMargins left="0.7" right="0.7" top="0.75" bottom="0.75" header="0.3" footer="0.3"/>
  <x:drawing xmlns:r="http://schemas.openxmlformats.org/officeDocument/2006/relationships" r:id="Re1d3282f4cfc44e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4" customHeight="1">
      <x:c r="A1" s="3" t="str">
        <x:v>数据质量检查</x:v>
      </x:c>
      <x:c r="B1" s="3" t="str">
        <x:v>数据质量检查</x:v>
      </x:c>
      <x:c r="C1" s="3" t="str">
        <x:v>数据质量检查</x:v>
      </x:c>
      <x:c r="D1" s="3" t="str">
        <x:v>数据质量检查</x:v>
      </x:c>
      <x:c r="E1" s="3" t="str">
        <x:v>数据质量检查</x:v>
      </x:c>
      <x:c r="F1" s="3" t="str">
        <x:v>数据质量检查</x:v>
      </x:c>
      <x:c r="G1" s="3" t="str">
        <x:v>数据质量检查</x:v>
      </x:c>
    </x:row>
    <x:row r="2" ht="30" customHeight="1">
      <x:c r="A2" s="6" t="str">
        <x:v>官网截至 2026-10-27，665 行；风光截至 2026-10-27，567 个有效披露日。</x:v>
      </x:c>
      <x:c r="B2" s="6" t="str">
        <x:v>官网截至 2026-10-27，665 行；风光截至 2026-10-27，567 个有效披露日。</x:v>
      </x:c>
      <x:c r="C2" s="6" t="str">
        <x:v>官网截至 2026-10-27，665 行；风光截至 2026-10-27，567 个有效披露日。</x:v>
      </x:c>
      <x:c r="D2" s="6" t="str">
        <x:v>官网截至 2026-10-27，665 行；风光截至 2026-10-27，567 个有效披露日。</x:v>
      </x:c>
      <x:c r="E2" s="6" t="str">
        <x:v>官网截至 2026-10-27，665 行；风光截至 2026-10-27，567 个有效披露日。</x:v>
      </x:c>
      <x:c r="F2" s="6" t="str">
        <x:v>官网截至 2026-10-27，665 行；风光截至 2026-10-27，567 个有效披露日。</x:v>
      </x:c>
      <x:c r="G2" s="6" t="str">
        <x:v>官网截至 2026-10-27，665 行；风光截至 2026-10-27，567 个有效披露日。</x:v>
      </x:c>
      <x:c r="H2" s="6" t="str">
        <x:v>官网截至 2026-10-27，665 行；风光截至 2026-10-27，567 个有效披露日。</x:v>
      </x:c>
    </x:row>
    <x:row r="4" ht="30" customHeight="1">
      <x:c r="A4" s="27" t="str">
        <x:v>检查项</x:v>
      </x:c>
      <x:c r="B4" s="27" t="str">
        <x:v>实际</x:v>
      </x:c>
      <x:c r="C4" s="27" t="str">
        <x:v>预期</x:v>
      </x:c>
      <x:c r="D4" s="27" t="str">
        <x:v>差异</x:v>
      </x:c>
      <x:c r="E4" s="27" t="str">
        <x:v>容差</x:v>
      </x:c>
      <x:c r="F4" s="27" t="str">
        <x:v>状态</x:v>
      </x:c>
      <x:c r="G4" s="27" t="str">
        <x:v>说明</x:v>
      </x:c>
    </x:row>
    <x:row r="5" ht="28" customHeight="1">
      <x:c r="A5" s="18" t="str">
        <x:v>日期行数</x:v>
      </x:c>
      <x:c r="B5" s="14" t="n">
        <x:f>COUNTA('每日数据'!$A$2:$A$666)</x:f>
        <x:v>665</x:v>
      </x:c>
      <x:c r="C5" s="14" t="n">
        <x:v>665</x:v>
      </x:c>
      <x:c r="D5" s="14" t="n">
        <x:f>B5-C5</x:f>
        <x:v>0</x:v>
      </x:c>
      <x:c r="E5" s="14" t="n">
        <x:v>0</x:v>
      </x:c>
      <x:c r="F5" s="14" t="str">
        <x:f>IF(ABS(D5)&lt;=E5,"OK","检查")</x:f>
        <x:v>OK</x:v>
      </x:c>
      <x:c r="G5" s="14" t="str">
        <x:v>自然日连续</x:v>
      </x:c>
    </x:row>
    <x:row r="6" ht="28" customHeight="1">
      <x:c r="A6" s="18" t="str">
        <x:v>最早日期</x:v>
      </x:c>
      <x:c r="B6" s="15" t="n">
        <x:f>MIN('每日数据'!$A$2:$A$666)</x:f>
        <x:v>45658</x:v>
      </x:c>
      <x:c r="C6" s="15" t="d">
        <x:v>2025-01-01T00:00:00.000Z</x:v>
      </x:c>
      <x:c r="D6" s="63" t="n">
        <x:f>B6-C6</x:f>
        <x:v>0</x:v>
      </x:c>
      <x:c r="E6" s="14" t="n">
        <x:v>0</x:v>
      </x:c>
      <x:c r="F6" s="14" t="str">
        <x:f>IF(ABS(D6)&lt;=E6,"OK","检查")</x:f>
        <x:v>OK</x:v>
      </x:c>
      <x:c r="G6" s="14" t="str">
        <x:v>应覆盖起点</x:v>
      </x:c>
    </x:row>
    <x:row r="7" ht="28" customHeight="1">
      <x:c r="A7" s="18" t="str">
        <x:v>官网最晚已取回日</x:v>
      </x:c>
      <x:c r="B7" s="15" t="n">
        <x:f>MAX('每日数据'!$A$2:$A$666)</x:f>
        <x:v>46322</x:v>
      </x:c>
      <x:c r="C7" s="15" t="d">
        <x:v>2026-10-27T00:00:00.000Z</x:v>
      </x:c>
      <x:c r="D7" s="63" t="n">
        <x:f>B7-C7</x:f>
        <x:v>0</x:v>
      </x:c>
      <x:c r="E7" s="14" t="n">
        <x:v>0</x:v>
      </x:c>
      <x:c r="F7" s="14" t="str">
        <x:f>IF(ABS(D7)&lt;=E7,"OK","检查")</x:f>
        <x:v>OK</x:v>
      </x:c>
      <x:c r="G7" s="14" t="str">
        <x:v>不表示官网已同步到最新</x:v>
      </x:c>
    </x:row>
    <x:row r="8" ht="28" customHeight="1">
      <x:c r="A8" s="18" t="str">
        <x:v>六类价格完整数</x:v>
      </x:c>
      <x:c r="B8" s="14" t="n">
        <x:f>COUNT('每日数据'!$B$2:$G$666)</x:f>
        <x:v>3967</x:v>
      </x:c>
      <x:c r="C8" s="14" t="n">
        <x:v>3967</x:v>
      </x:c>
      <x:c r="D8" s="14" t="n">
        <x:f>B8-C8</x:f>
        <x:v>0</x:v>
      </x:c>
      <x:c r="E8" s="14" t="n">
        <x:v>0</x:v>
      </x:c>
      <x:c r="F8" s="14" t="str">
        <x:f>IF(ABS(D8)&lt;=E8,"OK","检查")</x:f>
        <x:v>OK</x:v>
      </x:c>
      <x:c r="G8" s="14" t="str">
        <x:v>理论3990；源站已知空值23个，保留为空</x:v>
      </x:c>
    </x:row>
    <x:row r="9" ht="28" customHeight="1">
      <x:c r="A9" s="18" t="str">
        <x:v>总体电量完整数</x:v>
      </x:c>
      <x:c r="B9" s="14" t="n">
        <x:f>COUNT('每日数据'!$H$2:$I$666)</x:f>
        <x:v>1330</x:v>
      </x:c>
      <x:c r="C9" s="14" t="n">
        <x:v>1330</x:v>
      </x:c>
      <x:c r="D9" s="14" t="n">
        <x:f>B9-C9</x:f>
        <x:v>0</x:v>
      </x:c>
      <x:c r="E9" s="14" t="n">
        <x:v>0</x:v>
      </x:c>
      <x:c r="F9" s="14" t="str">
        <x:f>IF(ABS(D9)&lt;=E9,"OK","检查")</x:f>
        <x:v>OK</x:v>
      </x:c>
      <x:c r="G9" s="14" t="str">
        <x:v>理论1330；源站已知空值0个，保留为空</x:v>
      </x:c>
    </x:row>
    <x:row r="10" ht="28" customHeight="1">
      <x:c r="A10" s="18" t="str">
        <x:v>重复日期数</x:v>
      </x:c>
      <x:c r="B10" s="14" t="n">
        <x:f>SUMPRODUCT(--(COUNTIF('每日数据'!$A$2:$A$666,'每日数据'!$A$2:$A$666)&gt;1))</x:f>
        <x:v>0</x:v>
      </x:c>
      <x:c r="C10" s="14" t="n">
        <x:v>0</x:v>
      </x:c>
      <x:c r="D10" s="14" t="n">
        <x:f>B10-C10</x:f>
        <x:v>0</x:v>
      </x:c>
      <x:c r="E10" s="14" t="n">
        <x:v>0</x:v>
      </x:c>
      <x:c r="F10" s="14" t="str">
        <x:f>IF(ABS(D10)&lt;=E10,"OK","检查")</x:f>
        <x:v>OK</x:v>
      </x:c>
      <x:c r="G10" s="14" t="str">
        <x:v>应为0</x:v>
      </x:c>
    </x:row>
    <x:row r="11" ht="28" customHeight="1">
      <x:c r="A11" s="18" t="str">
        <x:v>风光四类均价完整数</x:v>
      </x:c>
      <x:c r="B11" s="14" t="n">
        <x:f>COUNT('风光分项'!$B$2:$E$666)</x:f>
        <x:v>2268</x:v>
      </x:c>
      <x:c r="C11" s="14" t="n">
        <x:v>2268</x:v>
      </x:c>
      <x:c r="D11" s="14" t="n">
        <x:f>B11-C11</x:f>
        <x:v>0</x:v>
      </x:c>
      <x:c r="E11" s="14" t="n">
        <x:v>0</x:v>
      </x:c>
      <x:c r="F11" s="14" t="str">
        <x:f>IF(ABS(D11)&lt;=E11,"OK","检查")</x:f>
        <x:v>OK</x:v>
      </x:c>
      <x:c r="G11" s="14" t="str">
        <x:v>567个披露日×4列</x:v>
      </x:c>
    </x:row>
    <x:row r="12" ht="28" customHeight="1">
      <x:c r="A12" s="18" t="str">
        <x:v>风光OCR待复核数</x:v>
      </x:c>
      <x:c r="B12" s="14" t="n">
        <x:f>COUNTIF('风光分项'!$R$2:$R$666,"ocr_review")+COUNTIF('风光分项'!$R$2:$R$666,"range_review")+COUNTIF('风光分项'!$R$2:$R$666,"confidence_review")+COUNTIF('风光分项'!$R$2:$R$666,"待复核")</x:f>
        <x:v>0</x:v>
      </x:c>
      <x:c r="C12" s="14" t="n">
        <x:v>0</x:v>
      </x:c>
      <x:c r="D12" s="14" t="n">
        <x:f>B12-C12</x:f>
        <x:v>0</x:v>
      </x:c>
      <x:c r="E12" s="14" t="n">
        <x:v>0</x:v>
      </x:c>
      <x:c r="F12" s="14" t="str">
        <x:f>IF(ABS(D12)&lt;=E12,"OK","检查")</x:f>
        <x:v>OK</x:v>
      </x:c>
      <x:c r="G12" s="14" t="str">
        <x:v>不含未披露及公众号缺失</x:v>
      </x:c>
    </x:row>
    <x:row r="14" ht="40" customHeight="1">
      <x:c r="A14" s="62" t="str">
        <x:v>发布门禁通过；本页检查仅针对已取回内容，正式发布仍须运行原发布脚本并核实部署。</x:v>
      </x:c>
      <x:c r="B14" s="62" t="str">
        <x:v>发布门禁通过；本页检查仅针对已取回内容，正式发布仍须运行原发布脚本并核实部署。</x:v>
      </x:c>
      <x:c r="C14" s="62" t="str">
        <x:v>发布门禁通过；本页检查仅针对已取回内容，正式发布仍须运行原发布脚本并核实部署。</x:v>
      </x:c>
      <x:c r="D14" s="62" t="str">
        <x:v>发布门禁通过；本页检查仅针对已取回内容，正式发布仍须运行原发布脚本并核实部署。</x:v>
      </x:c>
      <x:c r="E14" s="62" t="str">
        <x:v>发布门禁通过；本页检查仅针对已取回内容，正式发布仍须运行原发布脚本并核实部署。</x:v>
      </x:c>
      <x:c r="F14" s="62" t="str">
        <x:v>发布门禁通过；本页检查仅针对已取回内容，正式发布仍须运行原发布脚本并核实部署。</x:v>
      </x:c>
      <x:c r="G14" s="62" t="str">
        <x:v>发布门禁通过；本页检查仅针对已取回内容，正式发布仍须运行原发布脚本并核实部署。</x:v>
      </x:c>
    </x:row>
    <x:row r="15">
      <x:c r="A15" s="7" t="str">
        <x:v>来源差异与限制</x:v>
      </x:c>
      <x:c r="B15" s="7" t="str">
        <x:v>来源差异与限制</x:v>
      </x:c>
      <x:c r="C15" s="7" t="str">
        <x:v>来源差异与限制</x:v>
      </x:c>
      <x:c r="D15" s="7" t="str">
        <x:v>来源差异与限制</x:v>
      </x:c>
      <x:c r="E15" s="7" t="str">
        <x:v>来源差异与限制</x:v>
      </x:c>
      <x:c r="F15" s="7" t="str">
        <x:v>来源差异与限制</x:v>
      </x:c>
      <x:c r="G15" s="7" t="str">
        <x:v>来源差异与限制</x:v>
      </x:c>
    </x:row>
    <x:row r="16" ht="50" customHeight="1">
      <x:c r="A16" s="27" t="str">
        <x:v>事项</x:v>
      </x:c>
      <x:c r="B16" s="27" t="str">
        <x:v>事实</x:v>
      </x:c>
      <x:c r="C16" s="27" t="str">
        <x:v>影响</x:v>
      </x:c>
      <x:c r="D16" s="27" t="str">
        <x:v>处理</x:v>
      </x:c>
      <x:c r="E16" s="27" t="str">
        <x:v>置信度</x:v>
      </x:c>
      <x:c r="F16" s="27" t="str">
        <x:v>复核频率</x:v>
      </x:c>
      <x:c r="G16" s="27" t="str">
        <x:v>备注</x:v>
      </x:c>
    </x:row>
    <x:row r="17" ht="50" customHeight="1">
      <x:c r="A17" s="14" t="str">
        <x:v>公众号与网站差异</x:v>
      </x:c>
      <x:c r="B17" s="14" t="str">
        <x:v>2026-10-27两来源价格或电量存在口径差异</x:v>
      </x:c>
      <x:c r="C17" s="14" t="str">
        <x:v>同日数值不可直接混合</x:v>
      </x:c>
      <x:c r="D17" s="14" t="str">
        <x:v>网站作主序列；公众号作快照核验</x:v>
      </x:c>
      <x:c r="E17" s="14" t="str">
        <x:v>中</x:v>
      </x:c>
      <x:c r="F17" s="14" t="str">
        <x:v>每日</x:v>
      </x:c>
      <x:c r="G17" s="14" t="str">
        <x:v>当前网站总体电量与公众号快报差异显著，已在差异日志留痕</x:v>
      </x:c>
    </x:row>
    <x:row r="18" ht="50" customHeight="1">
      <x:c r="A18" s="14" t="str">
        <x:v>新能源/火电电量</x:v>
      </x:c>
      <x:c r="B18" s="14" t="str">
        <x:v>公开15日分类型接口仅给价格，不给分类型日总电量</x:v>
      </x:c>
      <x:c r="C18" s="14" t="str">
        <x:v>不能从现有接口直接计算分类型成交金额</x:v>
      </x:c>
      <x:c r="D18" s="14" t="str">
        <x:v>保留为空，不推算</x:v>
      </x:c>
      <x:c r="E18" s="14" t="str">
        <x:v>高</x:v>
      </x:c>
      <x:c r="F18" s="14" t="str">
        <x:v>月度</x:v>
      </x:c>
      <x:c r="G18" s="14" t="str">
        <x:v>避免虚假精度</x:v>
      </x:c>
    </x:row>
    <x:row r="19" ht="50" customHeight="1">
      <x:c r="A19" s="14" t="str">
        <x:v>风光分项披露</x:v>
      </x:c>
      <x:c r="B19" s="14" t="str">
        <x:v>2025-04-06起公众号图片拆分风电与光伏；缺报日：2025-11-16、2026-08-24、2026-08-25</x:v>
      </x:c>
      <x:c r="C19" s="14" t="str">
        <x:v>细分序列起点晚于总量序列且有3日空缺</x:v>
      </x:c>
      <x:c r="D19" s="14" t="str">
        <x:v>未披露区间和缺失日保留为空</x:v>
      </x:c>
      <x:c r="E19" s="14" t="str">
        <x:v>高</x:v>
      </x:c>
      <x:c r="F19" s="14" t="str">
        <x:v>每日</x:v>
      </x:c>
      <x:c r="G19" s="14" t="str">
        <x:v>不使用新能源合计反推</x:v>
      </x:c>
    </x:row>
    <x:row r="21" ht="48" customHeight="1">
      <x:c r="A21" s="62" t="str">
        <x:v>官方快报内容校验：52天 / 312字段；OCR待复核0项；新能源合计104项未披露。远端最新披露已核实。</x:v>
      </x:c>
      <x:c r="B21" s="62" t="str">
        <x:v>官方快报内容校验：52天 / 312字段；OCR待复核0项；新能源合计104项未披露。远端最新披露已核实。</x:v>
      </x:c>
      <x:c r="C21" s="62" t="str">
        <x:v>官方快报内容校验：52天 / 312字段；OCR待复核0项；新能源合计104项未披露。远端最新披露已核实。</x:v>
      </x:c>
      <x:c r="D21" s="62" t="str">
        <x:v>官方快报内容校验：52天 / 312字段；OCR待复核0项；新能源合计104项未披露。远端最新披露已核实。</x:v>
      </x:c>
      <x:c r="E21" s="62" t="str">
        <x:v>官方快报内容校验：52天 / 312字段；OCR待复核0项；新能源合计104项未披露。远端最新披露已核实。</x:v>
      </x:c>
      <x:c r="F21" s="62" t="str">
        <x:v>官方快报内容校验：52天 / 312字段；OCR待复核0项；新能源合计104项未披露。远端最新披露已核实。</x:v>
      </x:c>
      <x:c r="G21" s="62" t="str">
        <x:v>官方快报内容校验：52天 / 312字段；OCR待复核0项；新能源合计104项未披露。远端最新披露已核实。</x:v>
      </x:c>
    </x:row>
  </x:sheetData>
  <x:mergeCells>
    <x:mergeCell ref="A1:G1"/>
    <x:mergeCell ref="A2:G2"/>
    <x:mergeCell ref="A14:G14"/>
    <x:mergeCell ref="A15:G15"/>
    <x:mergeCell ref="A21:G21"/>
  </x:mergeCells>
  <x:conditionalFormatting sqref="F5:F12">
    <x:cfRule type="expression" dxfId="3" priority="1">
      <x:formula>F5="OK"</x:formula>
    </x:cfRule>
    <x:cfRule type="expression" dxfId="4" priority="2">
      <x:formula>F5="检查"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55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来源、更新流程与跟踪计划</x:v>
      </x:c>
      <x:c r="B1" s="3" t="str">
        <x:v>来源、更新流程与跟踪计划</x:v>
      </x:c>
      <x:c r="C1" s="3" t="str">
        <x:v>来源、更新流程与跟踪计划</x:v>
      </x:c>
      <x:c r="D1" s="3" t="str">
        <x:v>来源、更新流程与跟踪计划</x:v>
      </x:c>
      <x:c r="E1" s="3" t="str">
        <x:v>来源、更新流程与跟踪计划</x:v>
      </x:c>
      <x:c r="F1" s="3" t="str">
        <x:v>来源、更新流程与跟踪计划</x:v>
      </x:c>
      <x:c r="G1" s="3" t="str">
        <x:v>来源、更新流程与跟踪计划</x:v>
      </x:c>
      <x:c r="H1" s="3" t="str">
        <x:v>来源、更新流程与跟踪计划</x:v>
      </x:c>
    </x:row>
    <x:row r="2" ht="30" customHeight="1">
      <x:c r="A2" s="6" t="str">
        <x:v>原始链接、接口口径、核验动作和异常处理均在本页留痕。</x:v>
      </x:c>
      <x:c r="B2" s="6" t="str">
        <x:v>原始链接、接口口径、核验动作和异常处理均在本页留痕。</x:v>
      </x:c>
      <x:c r="C2" s="6" t="str">
        <x:v>原始链接、接口口径、核验动作和异常处理均在本页留痕。</x:v>
      </x:c>
      <x:c r="D2" s="6" t="str">
        <x:v>原始链接、接口口径、核验动作和异常处理均在本页留痕。</x:v>
      </x:c>
      <x:c r="E2" s="6" t="str">
        <x:v>原始链接、接口口径、核验动作和异常处理均在本页留痕。</x:v>
      </x:c>
      <x:c r="F2" s="6" t="str">
        <x:v>原始链接、接口口径、核验动作和异常处理均在本页留痕。</x:v>
      </x:c>
      <x:c r="G2" s="6" t="str">
        <x:v>原始链接、接口口径、核验动作和异常处理均在本页留痕。</x:v>
      </x:c>
      <x:c r="H2" s="6" t="str">
        <x:v>原始链接、接口口径、核验动作和异常处理均在本页留痕。</x:v>
      </x:c>
    </x:row>
    <x:row r="4">
      <x:c r="A4" s="7" t="str">
        <x:v>官方来源</x:v>
      </x:c>
      <x:c r="B4" s="7" t="str">
        <x:v>官方来源</x:v>
      </x:c>
      <x:c r="C4" s="7" t="str">
        <x:v>官方来源</x:v>
      </x:c>
      <x:c r="D4" s="7" t="str">
        <x:v>官方来源</x:v>
      </x:c>
      <x:c r="E4" s="7" t="str">
        <x:v>官方来源</x:v>
      </x:c>
      <x:c r="F4" s="7" t="str">
        <x:v>官方来源</x:v>
      </x:c>
      <x:c r="G4" s="7" t="str">
        <x:v>官方来源</x:v>
      </x:c>
      <x:c r="H4" s="7" t="str">
        <x:v>官方来源</x:v>
      </x:c>
    </x:row>
    <x:row r="5" ht="30" customHeight="1">
      <x:c r="A5" s="27" t="str">
        <x:v>来源ID</x:v>
      </x:c>
      <x:c r="B5" s="27" t="str">
        <x:v>来源名称</x:v>
      </x:c>
      <x:c r="C5" s="27" t="str">
        <x:v>链接</x:v>
      </x:c>
      <x:c r="D5" s="27" t="str">
        <x:v>数据内容</x:v>
      </x:c>
      <x:c r="E5" s="27" t="str">
        <x:v>更新频率</x:v>
      </x:c>
      <x:c r="F5" s="27" t="str">
        <x:v>角色</x:v>
      </x:c>
      <x:c r="G5" s="27" t="str">
        <x:v>取数/核验日期</x:v>
      </x:c>
      <x:c r="H5" s="27" t="str">
        <x:v>备注</x:v>
      </x:c>
    </x:row>
    <x:row r="6">
      <x:c r="A6" s="14" t="str">
        <x:v>S1</x:v>
      </x:c>
      <x:c r="B6" s="14" t="str">
        <x:v>陕西电力交易中心-现货专区</x:v>
      </x:c>
      <x:c r="C6" s="14" t="str">
        <x:v>https://snpx.com.cn/#/home/marketData/transactionData/spotmarketsection</x:v>
      </x:c>
      <x:c r="D6" s="14" t="str">
        <x:v>总体/火电/新能源日前与实时加权均价、总体电量</x:v>
      </x:c>
      <x:c r="E6" s="14" t="str">
        <x:v>每日</x:v>
      </x:c>
      <x:c r="F6" s="14" t="str">
        <x:v>主数据源</x:v>
      </x:c>
      <x:c r="G6" s="15" t="d">
        <x:v>2026-10-28T14:16:22.777Z</x:v>
      </x:c>
      <x:c r="H6" s="14" t="str">
        <x:v>结构化接口已刷新并核验；最新已核实至2026-10-27，null起更新范围未确认</x:v>
      </x:c>
    </x:row>
    <x:row r="7">
      <x:c r="A7" s="14" t="str">
        <x:v>S2</x:v>
      </x:c>
      <x:c r="B7" s="14" t="str">
        <x:v>陕西电力交易中心-公众号专辑</x:v>
      </x:c>
      <x:c r="C7" s="14" t="str">
        <x:v>https://mp.weixin.qq.com/mp/appmsgalbum?__biz=MzUxOTMxNjk0OQ%3D%3D&amp;action=getalbum&amp;album_id=3044234800137732100&amp;scene=126#wechat_redirect</x:v>
      </x:c>
      <x:c r="D7" s="14" t="str">
        <x:v>现货市场及中长期日融合日报</x:v>
      </x:c>
      <x:c r="E7" s="14" t="str">
        <x:v>每日T+1</x:v>
      </x:c>
      <x:c r="F7" s="14" t="str">
        <x:v>发布快照/交叉核验</x:v>
      </x:c>
      <x:c r="G7" s="15" t="d">
        <x:v>2026-10-28T00:00:00.000Z</x:v>
      </x:c>
      <x:c r="H7" s="14" t="str">
        <x:v>已抓取567个风光分项披露日；部分明细为图片</x:v>
      </x:c>
    </x:row>
    <x:row r="8">
      <x:c r="A8" s="14" t="str">
        <x:v>S3</x:v>
      </x:c>
      <x:c r="B8" s="14" t="str">
        <x:v>公众号-2026-10-27日报</x:v>
      </x:c>
      <x:c r="C8" s="14" t="str">
        <x:v>https://mp.weixin.qq.com/s?__biz=MzUxOTMxNjk0OQ==&amp;mid=2247508796&amp;idx=1&amp;sn=5f17ee856e7b7a3f55629bdf50313db2&amp;chksm=f9f99786ce8e1e905ba251bb777ef2b92ee655bfe00c6823fd6a12109128c8a0576b7602654e#rd</x:v>
      </x:c>
      <x:c r="D8" s="14" t="str">
        <x:v>差异核验样本</x:v>
      </x:c>
      <x:c r="E8" s="14" t="str">
        <x:v>一次性</x:v>
      </x:c>
      <x:c r="F8" s="14" t="str">
        <x:v>证据样本</x:v>
      </x:c>
      <x:c r="G8" s="15" t="d">
        <x:v>2026-10-28T00:00:00.000Z</x:v>
      </x:c>
      <x:c r="H8" s="14" t="str">
        <x:v>日前329.33、实时304.06元/MWh</x:v>
      </x:c>
    </x:row>
    <x:row r="9">
      <x:c r="A9" s="14" t="str">
        <x:v>S4</x:v>
      </x:c>
      <x:c r="B9" s="14" t="str">
        <x:v>公众号日报图片-风光分项</x:v>
      </x:c>
      <x:c r="C9" s="14" t="str">
        <x:v>https://mp.weixin.qq.com/mp/appmsgalbum?__biz=MzUxOTMxNjk0OQ%3D%3D&amp;action=getalbum&amp;album_id=3044234800137732100</x:v>
      </x:c>
      <x:c r="D9" s="14" t="str">
        <x:v>风电/光伏日前与实时最高、最低、加权均价；2025-07-16起含电量</x:v>
      </x:c>
      <x:c r="E9" s="14" t="str">
        <x:v>每日T+1</x:v>
      </x:c>
      <x:c r="F9" s="14" t="str">
        <x:v>风光分项主数据源</x:v>
      </x:c>
      <x:c r="G9" s="15" t="d">
        <x:v>2026-10-28T00:00:00.000Z</x:v>
      </x:c>
      <x:c r="H9" s="14" t="str">
        <x:v>2025-04-06起披露；OCR提取，逐行保留原文链接与置信度</x:v>
      </x:c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64" t="str">
        <x:v>自动化跟踪计划（每周一北京时间10:30）</x:v>
      </x:c>
      <x:c r="B11" s="64" t="str">
        <x:v>自动化跟踪计划（每周一北京时间10:30）</x:v>
      </x:c>
      <x:c r="C11" s="64" t="str">
        <x:v>自动化跟踪计划（每周一北京时间10:30）</x:v>
      </x:c>
      <x:c r="D11" s="64" t="str">
        <x:v>自动化跟踪计划（每周一北京时间10:30）</x:v>
      </x:c>
      <x:c r="E11" s="64" t="str">
        <x:v>自动化跟踪计划（每周一北京时间10:30）</x:v>
      </x:c>
      <x:c r="F11" s="64" t="str">
        <x:v>自动化跟踪计划（每周一北京时间10:30）</x:v>
      </x:c>
      <x:c r="G11" s="64" t="str">
        <x:v>自动化跟踪计划（每周一北京时间10:30）</x:v>
      </x:c>
      <x:c r="H11" s="64" t="str">
        <x:v>自动化跟踪计划（每周一北京时间10:30）</x:v>
      </x:c>
    </x:row>
    <x:row r="12" ht="30" customHeight="1">
      <x:c r="A12" s="27" t="str">
        <x:v>时间</x:v>
      </x:c>
      <x:c r="B12" s="27" t="str">
        <x:v>动作</x:v>
      </x:c>
      <x:c r="C12" s="27" t="str">
        <x:v>输入</x:v>
      </x:c>
      <x:c r="D12" s="27" t="str">
        <x:v>校验</x:v>
      </x:c>
      <x:c r="E12" s="27" t="str">
        <x:v>输出</x:v>
      </x:c>
      <x:c r="F12" s="27" t="str">
        <x:v>异常阈值</x:v>
      </x:c>
      <x:c r="G12" s="27" t="str">
        <x:v>负责人</x:v>
      </x:c>
      <x:c r="H12" s="27" t="str">
        <x:v>状态</x:v>
      </x:c>
    </x:row>
    <x:row r="13">
      <x:c r="A13" s="14" t="str">
        <x:v>每周一10:30</x:v>
      </x:c>
      <x:c r="B13" s="14" t="str">
        <x:v>抓取最新完整交易日</x:v>
      </x:c>
      <x:c r="C13" s="14" t="str">
        <x:v>S1网站接口</x:v>
      </x:c>
      <x:c r="D13" s="14" t="str">
        <x:v>核实最新完整披露日与已知空值</x:v>
      </x:c>
      <x:c r="E13" s="14" t="str">
        <x:v>追加每日数据</x:v>
      </x:c>
      <x:c r="F13" s="14" t="str">
        <x:v>缺失任一价格</x:v>
      </x:c>
      <x:c r="G13" s="14" t="str">
        <x:v>待指定</x:v>
      </x:c>
      <x:c r="H13" s="14" t="str">
        <x:v>计划</x:v>
      </x:c>
    </x:row>
    <x:row r="14">
      <x:c r="A14" s="14" t="str">
        <x:v>随后</x:v>
      </x:c>
      <x:c r="B14" s="14" t="str">
        <x:v>读取公众号日报并识别风光分项</x:v>
      </x:c>
      <x:c r="C14" s="14" t="str">
        <x:v>S2/S4专辑最新文章</x:v>
      </x:c>
      <x:c r="D14" s="14" t="str">
        <x:v>标题与交易日一致；OCR置信度≥85%</x:v>
      </x:c>
      <x:c r="E14" s="14" t="str">
        <x:v>记录日报快照与风光分项</x:v>
      </x:c>
      <x:c r="F14" s="14" t="str">
        <x:v>未发布/字段缺失/低置信度</x:v>
      </x:c>
      <x:c r="G14" s="14" t="str">
        <x:v>待指定</x:v>
      </x:c>
      <x:c r="H14" s="14" t="str">
        <x:v>计划</x:v>
      </x:c>
    </x:row>
    <x:row r="15">
      <x:c r="A15" s="14" t="str">
        <x:v>随后</x:v>
      </x:c>
      <x:c r="B15" s="14" t="str">
        <x:v>双源对账</x:v>
      </x:c>
      <x:c r="C15" s="14" t="str">
        <x:v>网站值 vs 公众号值</x:v>
      </x:c>
      <x:c r="D15" s="14" t="str">
        <x:v>有重叠时检查价格差、成交量差</x:v>
      </x:c>
      <x:c r="E15" s="14" t="str">
        <x:v>差异日志</x:v>
      </x:c>
      <x:c r="F15" s="14" t="str">
        <x:v>价格差&gt;1元/MWh或电量差&gt;1%</x:v>
      </x:c>
      <x:c r="G15" s="14" t="str">
        <x:v>待指定</x:v>
      </x:c>
      <x:c r="H15" s="14" t="str">
        <x:v>计划</x:v>
      </x:c>
    </x:row>
    <x:row r="16">
      <x:c r="A16" s="14" t="str">
        <x:v>随后</x:v>
      </x:c>
      <x:c r="B16" s="14" t="str">
        <x:v>各源分别保存并重建Excel</x:v>
      </x:c>
      <x:c r="C16" s="14" t="str">
        <x:v>分源已核验数据</x:v>
      </x:c>
      <x:c r="D16" s="14" t="str">
        <x:v>公式无错误、最新日可见</x:v>
      </x:c>
      <x:c r="E16" s="14" t="str">
        <x:v>月度趋势/最新值</x:v>
      </x:c>
      <x:c r="F16" s="14" t="str">
        <x:v>公式错误或断档</x:v>
      </x:c>
      <x:c r="G16" s="14" t="str">
        <x:v>待指定</x:v>
      </x:c>
      <x:c r="H16" s="14" t="str">
        <x:v>计划</x:v>
      </x:c>
    </x:row>
    <x:row r="17">
      <x:c r="A17" s="14" t="str">
        <x:v>每月首个工作日</x:v>
      </x:c>
      <x:c r="B17" s="14" t="str">
        <x:v>复核上月修订</x:v>
      </x:c>
      <x:c r="C17" s="14" t="str">
        <x:v>重新回溯网站近15日/全月</x:v>
      </x:c>
      <x:c r="D17" s="14" t="str">
        <x:v>与历史快照比较</x:v>
      </x:c>
      <x:c r="E17" s="14" t="str">
        <x:v>修订记录</x:v>
      </x:c>
      <x:c r="F17" s="14" t="str">
        <x:v>任一历史值变化</x:v>
      </x:c>
      <x:c r="G17" s="14" t="str">
        <x:v>待指定</x:v>
      </x:c>
      <x:c r="H17" s="14" t="str">
        <x:v>计划</x:v>
      </x:c>
    </x:row>
    <x:row r="18">
      <x:c r="A18" s="14" t="str">
        <x:v>季度</x:v>
      </x:c>
      <x:c r="B18" s="14" t="str">
        <x:v>备份与口径复审</x:v>
      </x:c>
      <x:c r="C18" s="14" t="str">
        <x:v>工作簿+原始JSON</x:v>
      </x:c>
      <x:c r="D18" s="14" t="str">
        <x:v>链接可访问、字段未变</x:v>
      </x:c>
      <x:c r="E18" s="14" t="str">
        <x:v>季度归档</x:v>
      </x:c>
      <x:c r="F18" s="14" t="str">
        <x:v>接口字段变化</x:v>
      </x:c>
      <x:c r="G18" s="14" t="str">
        <x:v>待指定</x:v>
      </x:c>
      <x:c r="H18" s="14" t="str">
        <x:v>计划</x:v>
      </x:c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  <x:row r="21">
      <x:c r="A21" s="64" t="str">
        <x:v>自动化建议</x:v>
      </x:c>
      <x:c r="B21" s="64" t="str">
        <x:v>自动化建议</x:v>
      </x:c>
      <x:c r="C21" s="64" t="str">
        <x:v>自动化建议</x:v>
      </x:c>
      <x:c r="D21" s="64" t="str">
        <x:v>自动化建议</x:v>
      </x:c>
      <x:c r="E21" s="64" t="str">
        <x:v>自动化建议</x:v>
      </x:c>
      <x:c r="F21" s="64" t="str">
        <x:v>自动化建议</x:v>
      </x:c>
      <x:c r="G21" s="64" t="str">
        <x:v>自动化建议</x:v>
      </x:c>
      <x:c r="H21" s="64" t="str">
        <x:v>自动化建议</x:v>
      </x:c>
    </x:row>
    <x:row r="22" ht="30" customHeight="1">
      <x:c r="A22" s="27" t="str">
        <x:v>优先级</x:v>
      </x:c>
      <x:c r="B22" s="27" t="str">
        <x:v>模块</x:v>
      </x:c>
      <x:c r="C22" s="27" t="str">
        <x:v>建议</x:v>
      </x:c>
      <x:c r="D22" s="27" t="str">
        <x:v>触发</x:v>
      </x:c>
      <x:c r="E22" s="27" t="str">
        <x:v>重试</x:v>
      </x:c>
      <x:c r="F22" s="27" t="str">
        <x:v>留痕</x:v>
      </x:c>
      <x:c r="G22" s="27" t="str">
        <x:v>告警</x:v>
      </x:c>
      <x:c r="H22" s="27" t="str">
        <x:v>备注</x:v>
      </x:c>
    </x:row>
    <x:row r="23">
      <x:c r="A23" s="14" t="str">
        <x:v>P0</x:v>
      </x:c>
      <x:c r="B23" s="14" t="str">
        <x:v>抓取</x:v>
      </x:c>
      <x:c r="C23" s="14" t="str">
        <x:v>按最新日期请求近15日并按日期去重</x:v>
      </x:c>
      <x:c r="D23" s="14" t="str">
        <x:v>每周一10:30</x:v>
      </x:c>
      <x:c r="E23" s="14" t="str">
        <x:v>3次指数退避</x:v>
      </x:c>
      <x:c r="F23" s="14" t="str">
        <x:v>保存原始JSON与抓取时间</x:v>
      </x:c>
      <x:c r="G23" s="14" t="str">
        <x:v>连续2次失败</x:v>
      </x:c>
      <x:c r="H23" s="14" t="str">
        <x:v>避免逐日高频请求</x:v>
      </x:c>
    </x:row>
    <x:row r="24">
      <x:c r="A24" s="14" t="str">
        <x:v>P0</x:v>
      </x:c>
      <x:c r="B24" s="14" t="str">
        <x:v>校验</x:v>
      </x:c>
      <x:c r="C24" s="14" t="str">
        <x:v>检查日期连续、六价完整、重复日期、异常价差</x:v>
      </x:c>
      <x:c r="D24" s="14" t="str">
        <x:v>每次抓取后</x:v>
      </x:c>
      <x:c r="E24" s="14" t="str">
        <x:v>不适用</x:v>
      </x:c>
      <x:c r="F24" s="14" t="str">
        <x:v>质量检查页</x:v>
      </x:c>
      <x:c r="G24" s="14" t="str">
        <x:v>任一检查非OK</x:v>
      </x:c>
      <x:c r="H24" s="14" t="str">
        <x:v>禁止自动填0</x:v>
      </x:c>
    </x:row>
    <x:row r="25">
      <x:c r="A25" s="14" t="str">
        <x:v>P1</x:v>
      </x:c>
      <x:c r="B25" s="14" t="str">
        <x:v>公众号核验</x:v>
      </x:c>
      <x:c r="C25" s="14" t="str">
        <x:v>保存文章URL；OCR提取风电、光伏日前/实时分项</x:v>
      </x:c>
      <x:c r="D25" s="14" t="str">
        <x:v>T+1</x:v>
      </x:c>
      <x:c r="E25" s="14" t="str">
        <x:v>1次</x:v>
      </x:c>
      <x:c r="F25" s="14" t="str">
        <x:v>原图、OCR结果、置信度与差异日志</x:v>
      </x:c>
      <x:c r="G25" s="14" t="str">
        <x:v>字段缺失或置信度&lt;85%</x:v>
      </x:c>
      <x:c r="H25" s="14" t="str">
        <x:v>公众号值不覆盖网站新能源合计</x:v>
      </x:c>
    </x:row>
    <x:row r="27">
      <x:c r="A27" s="7" t="str">
        <x:v>备用官方披露来源与本次更新状态</x:v>
      </x:c>
      <x:c r="B27" s="7" t="str">
        <x:v>备用官方披露来源与本次更新状态</x:v>
      </x:c>
      <x:c r="C27" s="7" t="str">
        <x:v>备用官方披露来源与本次更新状态</x:v>
      </x:c>
      <x:c r="D27" s="7" t="str">
        <x:v>备用官方披露来源与本次更新状态</x:v>
      </x:c>
      <x:c r="E27" s="7" t="str">
        <x:v>备用官方披露来源与本次更新状态</x:v>
      </x:c>
      <x:c r="F27" s="7" t="str">
        <x:v>备用官方披露来源与本次更新状态</x:v>
      </x:c>
      <x:c r="G27" s="7" t="str">
        <x:v>备用官方披露来源与本次更新状态</x:v>
      </x:c>
      <x:c r="H27" s="7" t="str">
        <x:v>备用官方披露来源与本次更新状态</x:v>
      </x:c>
    </x:row>
    <x:row r="28" ht="100" customHeight="1">
      <x:c r="A28" s="14" t="str">
        <x:v>S5</x:v>
      </x:c>
      <x:c r="B28" s="14" t="str">
        <x:v>陕西电力交易中心信息发布网站</x:v>
      </x:c>
      <x:c r="C28" s="14" t="str">
        <x:v>https://pmos.sn.sgcc.com.cn/pxf-settlement-outnetpub/#/pxf-settlement-outnetpub/unstructedInfo?flag=1&amp;eventContent=信息披露-综合查询-首页文件预览&amp;fileId=ne9e634af12a147b28c382bf8e04e90aa</x:v>
      </x:c>
      <x:c r="D28" s="14" t="str">
        <x:v>月度风电、光伏实时出清加权均价</x:v>
      </x:c>
      <x:c r="E28" s="14" t="str">
        <x:v>每月</x:v>
      </x:c>
      <x:c r="F28" s="14" t="str">
        <x:v>月度独立核验</x:v>
      </x:c>
      <x:c r="G28" s="15" t="d">
        <x:v>2026-10-19T00:00:00.000Z</x:v>
      </x:c>
      <x:c r="H28" s="14" t="str">
        <x:v>2026-09；不能替代每日主序列</x:v>
      </x:c>
    </x:row>
    <x:row r="29" ht="60" customHeight="1">
      <x:c r="A29" s="14" t="str">
        <x:v>S6</x:v>
      </x:c>
      <x:c r="B29" s="14" t="str">
        <x:v>电力交易平台主门户</x:v>
      </x:c>
      <x:c r="C29" s="14" t="str">
        <x:v>https://pmos.sn.sgcc.com.cn/#/outNet</x:v>
      </x:c>
      <x:c r="D29" s="14" t="str">
        <x:v>系统升级、功能页面运行不稳定公告</x:v>
      </x:c>
      <x:c r="E29" s="14" t="str">
        <x:v>公告</x:v>
      </x:c>
      <x:c r="F29" s="14" t="str">
        <x:v>官方运维线索</x:v>
      </x:c>
      <x:c r="G29" s="15" t="d">
        <x:v>2026-10-19T00:00:00.000Z</x:v>
      </x:c>
      <x:c r="H29" s="14" t="str">
        <x:v>客服029-81001000；未对外发送消息</x:v>
      </x:c>
    </x:row>
    <x:row r="30" ht="60" customHeight="1">
      <x:c r="A30" s="14" t="str">
        <x:v>本地Excel分源保存：官网主序列最新已核实至2026-10-27，公众号风光与快报最新已核实至2026-10-27，PMOS月度已核实至2026-09。官网与公众号后续更新范围未确认，正式网站发布暂停。</x:v>
      </x:c>
      <x:c r="B30" s="14" t="str">
        <x:v>本地Excel分源保存：官网主序列最新已核实至2026-10-27，公众号风光与快报最新已核实至2026-10-27，PMOS月度已核实至2026-09。官网与公众号后续更新范围未确认，正式网站发布暂停。</x:v>
      </x:c>
      <x:c r="C30" s="14" t="str">
        <x:v>本地Excel分源保存：官网主序列最新已核实至2026-10-27，公众号风光与快报最新已核实至2026-10-27，PMOS月度已核实至2026-09。官网与公众号后续更新范围未确认，正式网站发布暂停。</x:v>
      </x:c>
      <x:c r="D30" s="14" t="str">
        <x:v>本地Excel分源保存：官网主序列最新已核实至2026-10-27，公众号风光与快报最新已核实至2026-10-27，PMOS月度已核实至2026-09。官网与公众号后续更新范围未确认，正式网站发布暂停。</x:v>
      </x:c>
      <x:c r="E30" s="14" t="str">
        <x:v>本地Excel分源保存：官网主序列最新已核实至2026-10-27，公众号风光与快报最新已核实至2026-10-27，PMOS月度已核实至2026-09。官网与公众号后续更新范围未确认，正式网站发布暂停。</x:v>
      </x:c>
      <x:c r="F30" s="14" t="str">
        <x:v>本地Excel分源保存：官网主序列最新已核实至2026-10-27，公众号风光与快报最新已核实至2026-10-27，PMOS月度已核实至2026-09。官网与公众号后续更新范围未确认，正式网站发布暂停。</x:v>
      </x:c>
      <x:c r="G30" s="14" t="str">
        <x:v>本地Excel分源保存：官网主序列最新已核实至2026-10-27，公众号风光与快报最新已核实至2026-10-27，PMOS月度已核实至2026-09。官网与公众号后续更新范围未确认，正式网站发布暂停。</x:v>
      </x:c>
      <x:c r="H30" s="14" t="str">
        <x:v>本地Excel分源保存：官网主序列最新已核实至2026-10-27，公众号风光与快报最新已核实至2026-10-27，PMOS月度已核实至2026-09。官网与公众号后续更新范围未确认，正式网站发布暂停。</x:v>
      </x:c>
    </x:row>
    <x:row r="32" ht="60" customHeight="1">
      <x:c r="A32" s="14" t="str">
        <x:v>S7</x:v>
      </x:c>
      <x:c r="B32" s="14" t="str">
        <x:v>官方日报快报独立序列</x:v>
      </x:c>
      <x:c r="C32" s="14" t="str">
        <x:v>逐日原文见官方日报快报L列</x:v>
      </x:c>
      <x:c r="D32" s="14" t="str">
        <x:v>总体/火电日前实时价格、总体电量</x:v>
      </x:c>
      <x:c r="E32" s="14" t="str">
        <x:v>每日披露</x:v>
      </x:c>
      <x:c r="F32" s="14" t="str">
        <x:v>独立快报</x:v>
      </x:c>
      <x:c r="G32" s="15" t="d">
        <x:v>2026-10-28T00:00:00.000Z</x:v>
      </x:c>
      <x:c r="H32" s="14" t="str">
        <x:v>本地解析保存；已核实至2026-10-27，不是本日远端抓取</x:v>
      </x:c>
    </x:row>
    <x:row r="33" ht="60" customHeight="1">
      <x:c r="A33" s="14" t="str">
        <x:v>本轮来源状态：官网结构化接口已刷新并核验，null起连续范围未确认；已核实本轮远端披露，原图已归档。PMOS于2026-10-28完成目录复查，2026-09后未确认；正文核验时间另记S5。</x:v>
      </x:c>
      <x:c r="B33" s="14" t="str">
        <x:v>本轮来源状态：官网结构化接口已刷新并核验，null起连续范围未确认；已核实本轮远端披露，原图已归档。PMOS于2026-10-28完成目录复查，2026-09后未确认；正文核验时间另记S5。</x:v>
      </x:c>
      <x:c r="C33" s="14" t="str">
        <x:v>本轮来源状态：官网结构化接口已刷新并核验，null起连续范围未确认；已核实本轮远端披露，原图已归档。PMOS于2026-10-28完成目录复查，2026-09后未确认；正文核验时间另记S5。</x:v>
      </x:c>
      <x:c r="D33" s="14" t="str">
        <x:v>本轮来源状态：官网结构化接口已刷新并核验，null起连续范围未确认；已核实本轮远端披露，原图已归档。PMOS于2026-10-28完成目录复查，2026-09后未确认；正文核验时间另记S5。</x:v>
      </x:c>
      <x:c r="E33" s="14" t="str">
        <x:v>本轮来源状态：官网结构化接口已刷新并核验，null起连续范围未确认；已核实本轮远端披露，原图已归档。PMOS于2026-10-28完成目录复查，2026-09后未确认；正文核验时间另记S5。</x:v>
      </x:c>
      <x:c r="F33" s="14" t="str">
        <x:v>本轮来源状态：官网结构化接口已刷新并核验，null起连续范围未确认；已核实本轮远端披露，原图已归档。PMOS于2026-10-28完成目录复查，2026-09后未确认；正文核验时间另记S5。</x:v>
      </x:c>
      <x:c r="G33" s="14" t="str">
        <x:v>本轮来源状态：官网结构化接口已刷新并核验，null起连续范围未确认；已核实本轮远端披露，原图已归档。PMOS于2026-10-28完成目录复查，2026-09后未确认；正文核验时间另记S5。</x:v>
      </x:c>
      <x:c r="H33" s="14" t="str">
        <x:v>本轮来源状态：官网结构化接口已刷新并核验，null起连续范围未确认；已核实本轮远端披露，原图已归档。PMOS于2026-10-28完成目录复查，2026-09后未确认；正文核验时间另记S5。</x:v>
      </x:c>
    </x:row>
  </x:sheetData>
  <x:mergeCells>
    <x:mergeCell ref="A1:H1"/>
    <x:mergeCell ref="A2:H2"/>
    <x:mergeCell ref="A4:H4"/>
    <x:mergeCell ref="A11:H11"/>
    <x:mergeCell ref="A21:H21"/>
    <x:mergeCell ref="A27:H27"/>
    <x:mergeCell ref="A30:H30"/>
    <x:mergeCell ref="A33:H33"/>
  </x:mergeCells>
  <x:pageMargins left="0.7" right="0.7" top="0.75" bottom="0.75" header="0.3" footer="0.3"/>
  <x:legacyDrawing xmlns:r="http://schemas.openxmlformats.org/officeDocument/2006/relationships" r:id="Rb046a741df954de2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9" hidden="0" customWidth="1"/>
    <x:col min="11" max="11" width="20" hidden="0" customWidth="1"/>
    <x:col min="12" max="12" width="45" hidden="0" customWidth="1"/>
  </x:cols>
  <x:sheetData>
    <x:row r="1" ht="34" customHeight="1">
      <x:c r="A1" s="3" t="str">
        <x:v>官方日报快报 · 总体与火电</x:v>
      </x:c>
      <x:c r="B1" s="3" t="str">
        <x:v>官方日报快报 · 总体与火电</x:v>
      </x:c>
      <x:c r="C1" s="3" t="str">
        <x:v>官方日报快报 · 总体与火电</x:v>
      </x:c>
      <x:c r="D1" s="3" t="str">
        <x:v>官方日报快报 · 总体与火电</x:v>
      </x:c>
      <x:c r="E1" s="3" t="str">
        <x:v>官方日报快报 · 总体与火电</x:v>
      </x:c>
      <x:c r="F1" s="3" t="str">
        <x:v>官方日报快报 · 总体与火电</x:v>
      </x:c>
      <x:c r="G1" s="3" t="str">
        <x:v>官方日报快报 · 总体与火电</x:v>
      </x:c>
      <x:c r="H1" s="3" t="str">
        <x:v>官方日报快报 · 总体与火电</x:v>
      </x:c>
      <x:c r="I1" s="3" t="str">
        <x:v>官方日报快报 · 总体与火电</x:v>
      </x:c>
      <x:c r="J1" s="3" t="str">
        <x:v>官方日报快报 · 总体与火电</x:v>
      </x:c>
      <x:c r="K1" s="3" t="str">
        <x:v>官方日报快报 · 总体与火电</x:v>
      </x:c>
      <x:c r="L1" s="3" t="str">
        <x:v>官方日报快报 · 总体与火电</x:v>
      </x:c>
    </x:row>
    <x:row r="2" ht="28" customHeight="1">
      <x:c r="A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B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C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D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E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F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G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H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I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J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K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L2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</x:row>
    <x:row r="3" ht="28" customHeight="1">
      <x:c r="A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B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C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D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E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F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G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H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I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J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K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  <x:c r="L3" s="45" t="str">
        <x:v>来源：陕西电力交易中心官方公众号日报原图。价格：元/MWh；电量：亿千瓦时。已核实至2026-10-27，远端最新披露已核实。与官网为不同披露时点/口径，禁止静默拼接；新能源合计未直接披露。</x:v>
      </x:c>
    </x:row>
    <x:row r="5" ht="30" customHeight="1">
      <x:c r="A5" s="27" t="str">
        <x:v>交易日期</x:v>
      </x:c>
      <x:c r="B5" s="27" t="str">
        <x:v>总体日前</x:v>
      </x:c>
      <x:c r="C5" s="27" t="str">
        <x:v>总体实时</x:v>
      </x:c>
      <x:c r="D5" s="27" t="str">
        <x:v>火电日前</x:v>
      </x:c>
      <x:c r="E5" s="27" t="str">
        <x:v>火电实时</x:v>
      </x:c>
      <x:c r="F5" s="27" t="str">
        <x:v>日前电量
亿千瓦时</x:v>
      </x:c>
      <x:c r="G5" s="27" t="str">
        <x:v>实时电量
亿千瓦时</x:v>
      </x:c>
      <x:c r="H5" s="27" t="str">
        <x:v>新能源日前</x:v>
      </x:c>
      <x:c r="I5" s="27" t="str">
        <x:v>新能源实时</x:v>
      </x:c>
      <x:c r="J5" s="27" t="str">
        <x:v>最低OCR置信度</x:v>
      </x:c>
      <x:c r="K5" s="27" t="str">
        <x:v>数据口径</x:v>
      </x:c>
      <x:c r="L5" s="27" t="str">
        <x:v>官方原文链接</x:v>
      </x:c>
    </x:row>
    <x:row r="6" ht="25" customHeight="1">
      <x:c r="A6" s="13" t="d">
        <x:v>2026-09-06T00:00:00.000Z</x:v>
      </x:c>
      <x:c r="B6" s="28" t="n">
        <x:v>225.18</x:v>
      </x:c>
      <x:c r="C6" s="28" t="n">
        <x:v>407.46</x:v>
      </x:c>
      <x:c r="D6" s="28" t="n">
        <x:v>265.92</x:v>
      </x:c>
      <x:c r="E6" s="28" t="n">
        <x:v>468.65</x:v>
      </x:c>
      <x:c r="F6" s="28" t="n">
        <x:v>4.53</x:v>
      </x:c>
      <x:c r="G6" s="28" t="n">
        <x:v>5.08</x:v>
      </x:c>
      <x:c r="H6" s="66"/>
      <x:c r="I6" s="66"/>
      <x:c r="J6" s="65" t="n">
        <x:v>0.9999788403511047</x:v>
      </x:c>
      <x:c r="K6" t="str">
        <x:v>官方日报快报</x:v>
      </x:c>
      <x:c r="L6" t="str">
        <x:v>https://mp.weixin.qq.com/s?__biz=MzUxOTMxNjk0OQ==&amp;mid=2247508427&amp;idx=1&amp;sn=1cc73ea62eb437b693e221a72d94f75e&amp;chksm=f9f99571ce8e1c6703403a1a687b5d0454d87ec73d28f4a785f45e89670010e7e7f6c5de6b6e#rd</x:v>
      </x:c>
    </x:row>
    <x:row r="7" ht="25" customHeight="1">
      <x:c r="A7" s="13" t="d">
        <x:v>2026-09-07T00:00:00.000Z</x:v>
      </x:c>
      <x:c r="B7" s="28" t="n">
        <x:v>348.35</x:v>
      </x:c>
      <x:c r="C7" s="28" t="n">
        <x:v>550.73</x:v>
      </x:c>
      <x:c r="D7" s="28" t="n">
        <x:v>351.58</x:v>
      </x:c>
      <x:c r="E7" s="28" t="n">
        <x:v>548.03</x:v>
      </x:c>
      <x:c r="F7" s="28" t="n">
        <x:v>4.95</x:v>
      </x:c>
      <x:c r="G7" s="28" t="n">
        <x:v>5.28</x:v>
      </x:c>
      <x:c r="H7" s="66"/>
      <x:c r="I7" s="66"/>
      <x:c r="J7" s="65" t="n">
        <x:v>0.9999775886535645</x:v>
      </x:c>
      <x:c r="K7" t="str">
        <x:v>官方日报快报</x:v>
      </x:c>
      <x:c r="L7" t="str">
        <x:v>https://mp.weixin.qq.com/s?__biz=MzUxOTMxNjk0OQ==&amp;mid=2247508437&amp;idx=1&amp;sn=de4d05036e18fd3c0f081fc8a0dc8c60&amp;chksm=f9f9956fce8e1c79f975b2868336b9f155838e2dab5ab70661b9b2d3305aa6a1769f7d5b5cb1#rd</x:v>
      </x:c>
    </x:row>
    <x:row r="8" ht="25" customHeight="1">
      <x:c r="A8" s="13" t="d">
        <x:v>2026-09-08T00:00:00.000Z</x:v>
      </x:c>
      <x:c r="B8" s="28" t="n">
        <x:v>412.76</x:v>
      </x:c>
      <x:c r="C8" s="28" t="n">
        <x:v>426.19</x:v>
      </x:c>
      <x:c r="D8" s="28" t="n">
        <x:v>417.15</x:v>
      </x:c>
      <x:c r="E8" s="28" t="n">
        <x:v>429.35</x:v>
      </x:c>
      <x:c r="F8" s="28" t="n">
        <x:v>5.14</x:v>
      </x:c>
      <x:c r="G8" s="28" t="n">
        <x:v>5.13</x:v>
      </x:c>
      <x:c r="H8" s="66"/>
      <x:c r="I8" s="66"/>
      <x:c r="J8" s="65" t="n">
        <x:v>0.9827477931976318</x:v>
      </x:c>
      <x:c r="K8" t="str">
        <x:v>官方日报快报</x:v>
      </x:c>
      <x:c r="L8" t="str">
        <x:v>https://mp.weixin.qq.com/s?__biz=MzUxOTMxNjk0OQ==&amp;mid=2247508460&amp;idx=1&amp;sn=7c9e1c420a4a2a83c323087f4178db88&amp;chksm=f9f99556ce8e1c40cf57610cb6b1694207f8e02e6a35ebd0bbe87b084dcac5229f60cf91d0fa#rd</x:v>
      </x:c>
    </x:row>
    <x:row r="9" ht="25" customHeight="1">
      <x:c r="A9" s="13" t="d">
        <x:v>2026-09-09T00:00:00.000Z</x:v>
      </x:c>
      <x:c r="B9" s="28" t="n">
        <x:v>348.43</x:v>
      </x:c>
      <x:c r="C9" s="28" t="n">
        <x:v>364.89</x:v>
      </x:c>
      <x:c r="D9" s="28" t="n">
        <x:v>349.17</x:v>
      </x:c>
      <x:c r="E9" s="28" t="n">
        <x:v>366.33</x:v>
      </x:c>
      <x:c r="F9" s="28" t="n">
        <x:v>4.71</x:v>
      </x:c>
      <x:c r="G9" s="28" t="n">
        <x:v>5.09</x:v>
      </x:c>
      <x:c r="H9" s="66"/>
      <x:c r="I9" s="66"/>
      <x:c r="J9" s="65" t="n">
        <x:v>0.9999830722808838</x:v>
      </x:c>
      <x:c r="K9" t="str">
        <x:v>官方日报快报</x:v>
      </x:c>
      <x:c r="L9" t="str">
        <x:v>https://mp.weixin.qq.com/s?__biz=MzUxOTMxNjk0OQ==&amp;mid=2247508465&amp;idx=1&amp;sn=fc8a2eda66cd7e415ebbf694bb67842c&amp;chksm=f9f9954bce8e1c5d97d4909f186e81a1788702e5bb9b884e95449c5b569c3e6815fb04ad4b61#rd</x:v>
      </x:c>
    </x:row>
    <x:row r="10" ht="25" customHeight="1">
      <x:c r="A10" s="13" t="d">
        <x:v>2026-09-10T00:00:00.000Z</x:v>
      </x:c>
      <x:c r="B10" s="28" t="n">
        <x:v>307.15</x:v>
      </x:c>
      <x:c r="C10" s="28" t="n">
        <x:v>269.43</x:v>
      </x:c>
      <x:c r="D10" s="28" t="n">
        <x:v>331.74</x:v>
      </x:c>
      <x:c r="E10" s="28" t="n">
        <x:v>308.6</x:v>
      </x:c>
      <x:c r="F10" s="28" t="n">
        <x:v>4.34</x:v>
      </x:c>
      <x:c r="G10" s="28" t="n">
        <x:v>4.19</x:v>
      </x:c>
      <x:c r="H10" s="66"/>
      <x:c r="I10" s="66"/>
      <x:c r="J10" s="65" t="n">
        <x:v>0.999622106552124</x:v>
      </x:c>
      <x:c r="K10" t="str">
        <x:v>官方日报快报</x:v>
      </x:c>
      <x:c r="L10" t="str">
        <x:v>https://mp.weixin.qq.com/s?__biz=MzUxOTMxNjk0OQ==&amp;mid=2247508469&amp;idx=1&amp;sn=ecde18f380337957231fc52ab3ab7c38&amp;chksm=f9f9954fce8e1c5958536bd353d889408fdbf36543987230ecabd2fb9672b883e8cffd8d6700#rd</x:v>
      </x:c>
    </x:row>
    <x:row r="11" ht="25" customHeight="1">
      <x:c r="A11" s="13" t="d">
        <x:v>2026-09-11T00:00:00.000Z</x:v>
      </x:c>
      <x:c r="B11" s="28" t="n">
        <x:v>248.45</x:v>
      </x:c>
      <x:c r="C11" s="28" t="n">
        <x:v>263.74</x:v>
      </x:c>
      <x:c r="D11" s="28" t="n">
        <x:v>288.55</x:v>
      </x:c>
      <x:c r="E11" s="28" t="n">
        <x:v>300.29</x:v>
      </x:c>
      <x:c r="F11" s="28" t="n">
        <x:v>4.1</x:v>
      </x:c>
      <x:c r="G11" s="28" t="n">
        <x:v>4.27</x:v>
      </x:c>
      <x:c r="H11" s="66"/>
      <x:c r="I11" s="66"/>
      <x:c r="J11" s="65" t="n">
        <x:v>0.999982476234436</x:v>
      </x:c>
      <x:c r="K11" t="str">
        <x:v>官方日报快报</x:v>
      </x:c>
      <x:c r="L11" t="str">
        <x:v>https://mp.weixin.qq.com/s?__biz=MzUxOTMxNjk0OQ==&amp;mid=2247508491&amp;idx=1&amp;sn=42d8d622000824f517c174e062b9d8f4&amp;chksm=f9f996b1ce8e1fa724590ee7407a2ee60933dfa691c4ce7edcda7542ec92868221a178b144cf#rd</x:v>
      </x:c>
    </x:row>
    <x:row r="12" ht="25" customHeight="1">
      <x:c r="A12" s="13" t="d">
        <x:v>2026-09-12T00:00:00.000Z</x:v>
      </x:c>
      <x:c r="B12" s="28" t="n">
        <x:v>261.44</x:v>
      </x:c>
      <x:c r="C12" s="28" t="n">
        <x:v>274.28</x:v>
      </x:c>
      <x:c r="D12" s="28" t="n">
        <x:v>302.41</x:v>
      </x:c>
      <x:c r="E12" s="28" t="n">
        <x:v>322.41</x:v>
      </x:c>
      <x:c r="F12" s="28" t="n">
        <x:v>4.07</x:v>
      </x:c>
      <x:c r="G12" s="28" t="n">
        <x:v>4.08</x:v>
      </x:c>
      <x:c r="H12" s="66"/>
      <x:c r="I12" s="66"/>
      <x:c r="J12" s="65" t="n">
        <x:v>0.9999816417694092</x:v>
      </x:c>
      <x:c r="K12" t="str">
        <x:v>官方日报快报</x:v>
      </x:c>
      <x:c r="L12" t="str">
        <x:v>https://mp.weixin.qq.com/s?__biz=MzUxOTMxNjk0OQ==&amp;mid=2247508494&amp;idx=1&amp;sn=9821bb97bc7cf5d01b31c20d5301e412&amp;chksm=f9f996b4ce8e1fa2c556602b35f4b0ed3350ed7b9390950244a979ec96e48b581d64ec155b99#rd</x:v>
      </x:c>
    </x:row>
    <x:row r="13" ht="25" customHeight="1">
      <x:c r="A13" s="13" t="d">
        <x:v>2026-09-13T00:00:00.000Z</x:v>
      </x:c>
      <x:c r="B13" s="28" t="n">
        <x:v>275.59</x:v>
      </x:c>
      <x:c r="C13" s="28" t="n">
        <x:v>359.74</x:v>
      </x:c>
      <x:c r="D13" s="28" t="n">
        <x:v>328.1</x:v>
      </x:c>
      <x:c r="E13" s="28" t="n">
        <x:v>432.97</x:v>
      </x:c>
      <x:c r="F13" s="28" t="n">
        <x:v>4.05</x:v>
      </x:c>
      <x:c r="G13" s="28" t="n">
        <x:v>4.21</x:v>
      </x:c>
      <x:c r="H13" s="66"/>
      <x:c r="I13" s="66"/>
      <x:c r="J13" s="65" t="n">
        <x:v>0.9999771118164062</x:v>
      </x:c>
      <x:c r="K13" t="str">
        <x:v>官方日报快报</x:v>
      </x:c>
      <x:c r="L13" t="str">
        <x:v>https://mp.weixin.qq.com/s?__biz=MzUxOTMxNjk0OQ==&amp;mid=2247508498&amp;idx=1&amp;sn=91bae6c83fa8488d606a510c784415d0&amp;chksm=f9f996a8ce8e1fbef8caf421bd2bf68f42da1fca5afdd39714f8f11b1ab24ffc1e196148d625#rd</x:v>
      </x:c>
    </x:row>
    <x:row r="14" ht="25" customHeight="1">
      <x:c r="A14" s="13" t="d">
        <x:v>2026-09-14T00:00:00.000Z</x:v>
      </x:c>
      <x:c r="B14" s="28" t="n">
        <x:v>238.25</x:v>
      </x:c>
      <x:c r="C14" s="28" t="n">
        <x:v>266.83</x:v>
      </x:c>
      <x:c r="D14" s="28" t="n">
        <x:v>283.82</x:v>
      </x:c>
      <x:c r="E14" s="28" t="n">
        <x:v>323.57</x:v>
      </x:c>
      <x:c r="F14" s="28" t="n">
        <x:v>3.97</x:v>
      </x:c>
      <x:c r="G14" s="28" t="n">
        <x:v>4.2</x:v>
      </x:c>
      <x:c r="H14" s="66"/>
      <x:c r="I14" s="66"/>
      <x:c r="J14" s="65" t="n">
        <x:v>0.9998429417610168</x:v>
      </x:c>
      <x:c r="K14" t="str">
        <x:v>官方日报快报</x:v>
      </x:c>
      <x:c r="L14" t="str">
        <x:v>https://mp.weixin.qq.com/s?__biz=MzUxOTMxNjk0OQ==&amp;mid=2247508502&amp;idx=1&amp;sn=5aaf0b66b589196ff11c74f956aac51e&amp;chksm=f9f996acce8e1fba55b05c786454ae3149bef1b971965a63214de2782302c24f0091f9ba9f6d#rd</x:v>
      </x:c>
    </x:row>
    <x:row r="15" ht="25" customHeight="1">
      <x:c r="A15" s="13" t="d">
        <x:v>2026-09-15T00:00:00.000Z</x:v>
      </x:c>
      <x:c r="B15" s="28" t="n">
        <x:v>231.59</x:v>
      </x:c>
      <x:c r="C15" s="28" t="n">
        <x:v>237.57</x:v>
      </x:c>
      <x:c r="D15" s="28" t="n">
        <x:v>274.43</x:v>
      </x:c>
      <x:c r="E15" s="28" t="n">
        <x:v>281.92</x:v>
      </x:c>
      <x:c r="F15" s="28" t="n">
        <x:v>3.99</x:v>
      </x:c>
      <x:c r="G15" s="28" t="n">
        <x:v>4.14</x:v>
      </x:c>
      <x:c r="H15" s="66"/>
      <x:c r="I15" s="66"/>
      <x:c r="J15" s="65" t="n">
        <x:v>0.9999726414680481</x:v>
      </x:c>
      <x:c r="K15" t="str">
        <x:v>官方日报快报</x:v>
      </x:c>
      <x:c r="L15" t="str">
        <x:v>https://mp.weixin.qq.com/s?__biz=MzUxOTMxNjk0OQ==&amp;mid=2247508506&amp;idx=1&amp;sn=7dda894f3f9da8d91971f23e82380324&amp;chksm=f9f996a0ce8e1fb6bf861f3065f332b1789a7a80b17c6fd891c09e428fa19acde7d6f554b950#rd</x:v>
      </x:c>
    </x:row>
    <x:row r="16" ht="25" customHeight="1">
      <x:c r="A16" s="13" t="d">
        <x:v>2026-09-16T00:00:00.000Z</x:v>
      </x:c>
      <x:c r="B16" s="28" t="n">
        <x:v>315.96</x:v>
      </x:c>
      <x:c r="C16" s="28" t="n">
        <x:v>307.03</x:v>
      </x:c>
      <x:c r="D16" s="28" t="n">
        <x:v>342.01</x:v>
      </x:c>
      <x:c r="E16" s="28" t="n">
        <x:v>330.36</x:v>
      </x:c>
      <x:c r="F16" s="28" t="n">
        <x:v>4.18</x:v>
      </x:c>
      <x:c r="G16" s="28" t="n">
        <x:v>4.34</x:v>
      </x:c>
      <x:c r="H16" s="66"/>
      <x:c r="I16" s="66"/>
      <x:c r="J16" s="65" t="n">
        <x:v>0.9999864101409912</x:v>
      </x:c>
      <x:c r="K16" t="str">
        <x:v>官方日报快报</x:v>
      </x:c>
      <x:c r="L16" t="str">
        <x:v>https://mp.weixin.qq.com/s?__biz=MzUxOTMxNjk0OQ==&amp;mid=2247508513&amp;idx=1&amp;sn=dd3a4d17a389e93b8fd4d7fedf140242&amp;chksm=f9f9969bce8e1f8d3226bb764fe9ddb9a3ba895328306f97ce330cd47bbc503ba5317bf1c719#rd</x:v>
      </x:c>
    </x:row>
    <x:row r="17" ht="25" customHeight="1">
      <x:c r="A17" s="13" t="d">
        <x:v>2026-09-17T00:00:00.000Z</x:v>
      </x:c>
      <x:c r="B17" s="28" t="n">
        <x:v>240.7</x:v>
      </x:c>
      <x:c r="C17" s="28" t="n">
        <x:v>251.84</x:v>
      </x:c>
      <x:c r="D17" s="28" t="n">
        <x:v>282.9</x:v>
      </x:c>
      <x:c r="E17" s="28" t="n">
        <x:v>285.06</x:v>
      </x:c>
      <x:c r="F17" s="28" t="n">
        <x:v>4.02</x:v>
      </x:c>
      <x:c r="G17" s="28" t="n">
        <x:v>4.05</x:v>
      </x:c>
      <x:c r="H17" s="66"/>
      <x:c r="I17" s="66"/>
      <x:c r="J17" s="65" t="n">
        <x:v>0.999152660369873</x:v>
      </x:c>
      <x:c r="K17" t="str">
        <x:v>官方日报快报</x:v>
      </x:c>
      <x:c r="L17" t="str">
        <x:v>https://mp.weixin.qq.com/s?__biz=MzUxOTMxNjk0OQ==&amp;mid=2247508517&amp;idx=1&amp;sn=a26d3b13f8f6e975f2066f2c85b97189&amp;chksm=f9f9969fce8e1f89dcf965c7a47f731e82a91e1349360fb55c9df9ea95bcd785afb8e1e4deeb#rd</x:v>
      </x:c>
    </x:row>
    <x:row r="18" ht="25" customHeight="1">
      <x:c r="A18" s="13" t="d">
        <x:v>2026-09-18T00:00:00.000Z</x:v>
      </x:c>
      <x:c r="B18" s="28" t="n">
        <x:v>264.08</x:v>
      </x:c>
      <x:c r="C18" s="28" t="n">
        <x:v>279.34</x:v>
      </x:c>
      <x:c r="D18" s="28" t="n">
        <x:v>281.47</x:v>
      </x:c>
      <x:c r="E18" s="28" t="n">
        <x:v>292.44</x:v>
      </x:c>
      <x:c r="F18" s="28" t="n">
        <x:v>4.22</x:v>
      </x:c>
      <x:c r="G18" s="28" t="n">
        <x:v>4.32</x:v>
      </x:c>
      <x:c r="H18" s="66"/>
      <x:c r="I18" s="66"/>
      <x:c r="J18" s="65" t="n">
        <x:v>0.9988278746604919</x:v>
      </x:c>
      <x:c r="K18" t="str">
        <x:v>官方日报快报</x:v>
      </x:c>
      <x:c r="L18" t="str">
        <x:v>https://mp.weixin.qq.com/s?__biz=MzUxOTMxNjk0OQ==&amp;mid=2247508529&amp;idx=1&amp;sn=10f6acc30d7b6f8ef12328fa1970b672&amp;chksm=f9f9968bce8e1f9da0e503178c6fe2af0072c2f2f3dca95c1731663aec88a0f3c00dc1a58286#rd</x:v>
      </x:c>
    </x:row>
    <x:row r="19" ht="25" customHeight="1">
      <x:c r="A19" s="13" t="d">
        <x:v>2026-09-19T00:00:00.000Z</x:v>
      </x:c>
      <x:c r="B19" s="28" t="n">
        <x:v>261.76</x:v>
      </x:c>
      <x:c r="C19" s="28" t="n">
        <x:v>348.45</x:v>
      </x:c>
      <x:c r="D19" s="28" t="n">
        <x:v>295.7</x:v>
      </x:c>
      <x:c r="E19" s="28" t="n">
        <x:v>387.47</x:v>
      </x:c>
      <x:c r="F19" s="28" t="n">
        <x:v>3.97</x:v>
      </x:c>
      <x:c r="G19" s="28" t="n">
        <x:v>4.23</x:v>
      </x:c>
      <x:c r="H19" s="66"/>
      <x:c r="I19" s="66"/>
      <x:c r="J19" s="65" t="n">
        <x:v>0.9732955098152161</x:v>
      </x:c>
      <x:c r="K19" t="str">
        <x:v>官方日报快报</x:v>
      </x:c>
      <x:c r="L19" t="str">
        <x:v>https://mp.weixin.qq.com/s?__biz=MzUxOTMxNjk0OQ==&amp;mid=2247508530&amp;idx=1&amp;sn=3ddf38f023d6d282a487e3b1c5d3dd19&amp;chksm=f9f99688ce8e1f9e370856ce622526c424b249ff70867579c1a413aee624e1174e1c0942fd41#rd</x:v>
      </x:c>
    </x:row>
    <x:row r="20" ht="25" customHeight="1">
      <x:c r="A20" s="13" t="d">
        <x:v>2026-09-20T00:00:00.000Z</x:v>
      </x:c>
      <x:c r="B20" s="28" t="n">
        <x:v>384.54</x:v>
      </x:c>
      <x:c r="C20" s="28" t="n">
        <x:v>376.5</x:v>
      </x:c>
      <x:c r="D20" s="28" t="n">
        <x:v>386.08</x:v>
      </x:c>
      <x:c r="E20" s="28" t="n">
        <x:v>378.67</x:v>
      </x:c>
      <x:c r="F20" s="28" t="n">
        <x:v>4.9</x:v>
      </x:c>
      <x:c r="G20" s="28" t="n">
        <x:v>4.72</x:v>
      </x:c>
      <x:c r="H20" s="66"/>
      <x:c r="I20" s="66"/>
      <x:c r="J20" s="65" t="n">
        <x:v>0.9996092319488525</x:v>
      </x:c>
      <x:c r="K20" t="str">
        <x:v>官方日报快报</x:v>
      </x:c>
      <x:c r="L20" t="str">
        <x:v>https://mp.weixin.qq.com/s?__biz=MzUxOTMxNjk0OQ==&amp;mid=2247508537&amp;idx=1&amp;sn=0e94b2d4c9b3e69ca0db081912c9897e&amp;chksm=f9f99683ce8e1f9545bfb3aefa44e9d6bbad34d92c43a4fa409faf7f2dc6a1cd2aca55f94526#rd</x:v>
      </x:c>
    </x:row>
    <x:row r="21" ht="25" customHeight="1">
      <x:c r="A21" s="13" t="d">
        <x:v>2026-09-21T00:00:00.000Z</x:v>
      </x:c>
      <x:c r="B21" s="28" t="n">
        <x:v>352.17</x:v>
      </x:c>
      <x:c r="C21" s="28" t="n">
        <x:v>357.1</x:v>
      </x:c>
      <x:c r="D21" s="28" t="n">
        <x:v>401.07</x:v>
      </x:c>
      <x:c r="E21" s="28" t="n">
        <x:v>396.04</x:v>
      </x:c>
      <x:c r="F21" s="28" t="n">
        <x:v>4.54</x:v>
      </x:c>
      <x:c r="G21" s="28" t="n">
        <x:v>4.51</x:v>
      </x:c>
      <x:c r="H21" s="66"/>
      <x:c r="I21" s="66"/>
      <x:c r="J21" s="65" t="n">
        <x:v>0.9996239542961121</x:v>
      </x:c>
      <x:c r="K21" t="str">
        <x:v>官方日报快报</x:v>
      </x:c>
      <x:c r="L21" t="str">
        <x:v>https://mp.weixin.qq.com/s?__biz=MzUxOTMxNjk0OQ==&amp;mid=2247508541&amp;idx=1&amp;sn=48dfc452faccaa0fc16abfd7662919ad&amp;chksm=f9f99687ce8e1f9122b4323f93c753cd018d7b4719639f2208ced330de2156e3ec2ea0e071d8#rd</x:v>
      </x:c>
    </x:row>
    <x:row r="22" ht="25" customHeight="1">
      <x:c r="A22" s="13" t="d">
        <x:v>2026-09-22T00:00:00.000Z</x:v>
      </x:c>
      <x:c r="B22" s="28" t="n">
        <x:v>290.31</x:v>
      </x:c>
      <x:c r="C22" s="28" t="n">
        <x:v>280.81</x:v>
      </x:c>
      <x:c r="D22" s="28" t="n">
        <x:v>339.76</x:v>
      </x:c>
      <x:c r="E22" s="28" t="n">
        <x:v>331.96</x:v>
      </x:c>
      <x:c r="F22" s="28" t="n">
        <x:v>4.29</x:v>
      </x:c>
      <x:c r="G22" s="28" t="n">
        <x:v>4.29</x:v>
      </x:c>
      <x:c r="H22" s="66"/>
      <x:c r="I22" s="66"/>
      <x:c r="J22" s="65" t="n">
        <x:v>0.9994350075721741</x:v>
      </x:c>
      <x:c r="K22" t="str">
        <x:v>官方日报快报</x:v>
      </x:c>
      <x:c r="L22" t="str">
        <x:v>https://mp.weixin.qq.com/s?__biz=MzUxOTMxNjk0OQ==&amp;mid=2247508550&amp;idx=1&amp;sn=556e90e414c6942bb93c64e67e1da2c1&amp;chksm=f9f996fcce8e1fea078d0e78ba27c09b876caad77a41daeb8eb189c0d6e30c1aefb9b3a1399b#rd</x:v>
      </x:c>
    </x:row>
    <x:row r="23" ht="25" customHeight="1">
      <x:c r="A23" s="13" t="d">
        <x:v>2026-09-23T00:00:00.000Z</x:v>
      </x:c>
      <x:c r="B23" s="28" t="n">
        <x:v>345.36</x:v>
      </x:c>
      <x:c r="C23" s="28" t="n">
        <x:v>314.87</x:v>
      </x:c>
      <x:c r="D23" s="28" t="n">
        <x:v>373.83</x:v>
      </x:c>
      <x:c r="E23" s="28" t="n">
        <x:v>350.16</x:v>
      </x:c>
      <x:c r="F23" s="28" t="n">
        <x:v>4.03</x:v>
      </x:c>
      <x:c r="G23" s="28" t="n">
        <x:v>4.05</x:v>
      </x:c>
      <x:c r="H23" s="66"/>
      <x:c r="I23" s="66"/>
      <x:c r="J23" s="65" t="n">
        <x:v>0.9986242651939392</x:v>
      </x:c>
      <x:c r="K23" t="str">
        <x:v>官方日报快报</x:v>
      </x:c>
      <x:c r="L23" t="str">
        <x:v>https://mp.weixin.qq.com/s?__biz=MzUxOTMxNjk0OQ==&amp;mid=2247508554&amp;idx=1&amp;sn=68c4c71ff855a6e5404ed3a13ddf0c01&amp;chksm=f9f996f0ce8e1fe69d28b0c59d0fe979784ebbb62c0d036affa113d3e4267c8c18e955a42210#rd</x:v>
      </x:c>
    </x:row>
    <x:row r="24" ht="25" customHeight="1">
      <x:c r="A24" s="13" t="d">
        <x:v>2026-09-24T00:00:00.000Z</x:v>
      </x:c>
      <x:c r="B24" s="28" t="n">
        <x:v>382.51</x:v>
      </x:c>
      <x:c r="C24" s="28" t="n">
        <x:v>380.77</x:v>
      </x:c>
      <x:c r="D24" s="28" t="n">
        <x:v>393.41</x:v>
      </x:c>
      <x:c r="E24" s="28" t="n">
        <x:v>388.79</x:v>
      </x:c>
      <x:c r="F24" s="28" t="n">
        <x:v>4.46</x:v>
      </x:c>
      <x:c r="G24" s="28" t="n">
        <x:v>4.42</x:v>
      </x:c>
      <x:c r="H24" s="66"/>
      <x:c r="I24" s="66"/>
      <x:c r="J24" s="65" t="n">
        <x:v>0.9990358948707581</x:v>
      </x:c>
      <x:c r="K24" t="str">
        <x:v>官方日报快报</x:v>
      </x:c>
      <x:c r="L24" t="str">
        <x:v>https://mp.weixin.qq.com/s?__biz=MzUxOTMxNjk0OQ==&amp;mid=2247508564&amp;idx=1&amp;sn=a548db97985ab197d06d8d824a8bbec6&amp;chksm=f9f996eece8e1ff8c96ad51699202a4c93e4a05a081afa950ca677c4309e20b3e8f566118421#rd</x:v>
      </x:c>
    </x:row>
    <x:row r="25" ht="25" customHeight="1">
      <x:c r="A25" s="13" t="d">
        <x:v>2026-09-25T00:00:00.000Z</x:v>
      </x:c>
      <x:c r="B25" s="28" t="n">
        <x:v>339.24</x:v>
      </x:c>
      <x:c r="C25" s="28" t="n">
        <x:v>294.75</x:v>
      </x:c>
      <x:c r="D25" s="28" t="n">
        <x:v>363.76</x:v>
      </x:c>
      <x:c r="E25" s="28" t="n">
        <x:v>323.5</x:v>
      </x:c>
      <x:c r="F25" s="28" t="n">
        <x:v>3.94</x:v>
      </x:c>
      <x:c r="G25" s="28" t="n">
        <x:v>3.61</x:v>
      </x:c>
      <x:c r="H25" s="66"/>
      <x:c r="I25" s="66"/>
      <x:c r="J25" s="65" t="n">
        <x:v>0.9988952279090881</x:v>
      </x:c>
      <x:c r="K25" t="str">
        <x:v>官方日报快报</x:v>
      </x:c>
      <x:c r="L25" t="str">
        <x:v>https://mp.weixin.qq.com/s?__biz=MzUxOTMxNjk0OQ==&amp;mid=2247508566&amp;idx=1&amp;sn=7e063adcb368edb5181b478d811698cf&amp;chksm=f9f996ecce8e1ffa7c3d57537e347dece966fd825a5db3efa295ffa4989d51ac5af67c989776#rd</x:v>
      </x:c>
    </x:row>
    <x:row r="26" ht="25" customHeight="1">
      <x:c r="A26" s="13" t="d">
        <x:v>2026-09-26T00:00:00.000Z</x:v>
      </x:c>
      <x:c r="B26" s="28" t="n">
        <x:v>248.11</x:v>
      </x:c>
      <x:c r="C26" s="28" t="n">
        <x:v>252.84</x:v>
      </x:c>
      <x:c r="D26" s="28" t="n">
        <x:v>296.36</x:v>
      </x:c>
      <x:c r="E26" s="28" t="n">
        <x:v>294.1</x:v>
      </x:c>
      <x:c r="F26" s="28" t="n">
        <x:v>3.56</x:v>
      </x:c>
      <x:c r="G26" s="28" t="n">
        <x:v>3.54</x:v>
      </x:c>
      <x:c r="H26" s="66"/>
      <x:c r="I26" s="66"/>
      <x:c r="J26" s="65" t="n">
        <x:v>0.9988246560096741</x:v>
      </x:c>
      <x:c r="K26" t="str">
        <x:v>官方日报快报</x:v>
      </x:c>
      <x:c r="L26" t="str">
        <x:v>https://mp.weixin.qq.com/s?__biz=MzUxOTMxNjk0OQ==&amp;mid=2247508569&amp;idx=1&amp;sn=2794c931a4264aa1dc6230a724fd5f72&amp;chksm=f9f996e3ce8e1ff5fafa8c5132ea715d2cda0b8e0fe438d6ec0e3df2602ec3b1e7456fbe9fe8#rd</x:v>
      </x:c>
    </x:row>
    <x:row r="27" ht="25" customHeight="1">
      <x:c r="A27" s="13" t="d">
        <x:v>2026-09-27T00:00:00.000Z</x:v>
      </x:c>
      <x:c r="B27" s="28" t="n">
        <x:v>343.2</x:v>
      </x:c>
      <x:c r="C27" s="28" t="n">
        <x:v>357.4</x:v>
      </x:c>
      <x:c r="D27" s="28" t="n">
        <x:v>357.26</x:v>
      </x:c>
      <x:c r="E27" s="28" t="n">
        <x:v>362.05</x:v>
      </x:c>
      <x:c r="F27" s="28" t="n">
        <x:v>3.81</x:v>
      </x:c>
      <x:c r="G27" s="28" t="n">
        <x:v>3.93</x:v>
      </x:c>
      <x:c r="H27" s="66"/>
      <x:c r="I27" s="66"/>
      <x:c r="J27" s="65" t="n">
        <x:v>0.9991502165794373</x:v>
      </x:c>
      <x:c r="K27" t="str">
        <x:v>官方日报快报</x:v>
      </x:c>
      <x:c r="L27" t="str">
        <x:v>https://mp.weixin.qq.com/s?__biz=MzUxOTMxNjk0OQ==&amp;mid=2247508576&amp;idx=1&amp;sn=048c3ef9426e2d3a2a06c80d4abb57fc&amp;chksm=f9f996dace8e1fcc7762d93d0af85cfea86cc5892af545160898c00fa2f9452cf4560146f800#rd</x:v>
      </x:c>
    </x:row>
    <x:row r="28" ht="25" customHeight="1">
      <x:c r="A28" s="13" t="d">
        <x:v>2026-09-28T00:00:00.000Z</x:v>
      </x:c>
      <x:c r="B28" s="28" t="n">
        <x:v>355.57</x:v>
      </x:c>
      <x:c r="C28" s="28" t="n">
        <x:v>337.42</x:v>
      </x:c>
      <x:c r="D28" s="28" t="n">
        <x:v>370.77</x:v>
      </x:c>
      <x:c r="E28" s="28" t="n">
        <x:v>357.9</x:v>
      </x:c>
      <x:c r="F28" s="28" t="n">
        <x:v>4.12</x:v>
      </x:c>
      <x:c r="G28" s="28" t="n">
        <x:v>3.9</x:v>
      </x:c>
      <x:c r="H28" s="66"/>
      <x:c r="I28" s="66"/>
      <x:c r="J28" s="65" t="n">
        <x:v>0.9904692769050598</x:v>
      </x:c>
      <x:c r="K28" t="str">
        <x:v>官方日报快报</x:v>
      </x:c>
      <x:c r="L28" t="str">
        <x:v>https://mp.weixin.qq.com/s?__biz=MzUxOTMxNjk0OQ==&amp;mid=2247508599&amp;idx=1&amp;sn=5fd9e09076220f514bfc7bba1eac1d7f&amp;chksm=f9f996cdce8e1fdbaa1ea3873b83d70b0d116813b20810c007de8a735ef596d71f237797bb3a#rd</x:v>
      </x:c>
    </x:row>
    <x:row r="29" ht="25" customHeight="1">
      <x:c r="A29" s="13" t="d">
        <x:v>2026-09-29T00:00:00.000Z</x:v>
      </x:c>
      <x:c r="B29" s="28" t="n">
        <x:v>423.85</x:v>
      </x:c>
      <x:c r="C29" s="28" t="n">
        <x:v>413.19</x:v>
      </x:c>
      <x:c r="D29" s="28" t="n">
        <x:v>501.9</x:v>
      </x:c>
      <x:c r="E29" s="28" t="n">
        <x:v>485.14</x:v>
      </x:c>
      <x:c r="F29" s="28" t="n">
        <x:v>4.2</x:v>
      </x:c>
      <x:c r="G29" s="28" t="n">
        <x:v>4.23</x:v>
      </x:c>
      <x:c r="H29" s="66"/>
      <x:c r="I29" s="66"/>
      <x:c r="J29" s="65" t="n">
        <x:v>0.992254376411438</x:v>
      </x:c>
      <x:c r="K29" t="str">
        <x:v>官方日报快报</x:v>
      </x:c>
      <x:c r="L29" t="str">
        <x:v>https://mp.weixin.qq.com/s?__biz=MzUxOTMxNjk0OQ==&amp;mid=2247508603&amp;idx=1&amp;sn=75f6cd72edb46cc3b3e8923bb2ba56a7&amp;chksm=f9f996c1ce8e1fd705f8c8bb22ead6fb0cc605c3bd34e55205cf70509a57082e8710ec8481c3#rd</x:v>
      </x:c>
    </x:row>
    <x:row r="30" ht="25" customHeight="1">
      <x:c r="A30" s="13" t="d">
        <x:v>2026-09-30T00:00:00.000Z</x:v>
      </x:c>
      <x:c r="B30" s="28" t="n">
        <x:v>234</x:v>
      </x:c>
      <x:c r="C30" s="28" t="n">
        <x:v>287.99</x:v>
      </x:c>
      <x:c r="D30" s="28" t="n">
        <x:v>266.18</x:v>
      </x:c>
      <x:c r="E30" s="28" t="n">
        <x:v>306.42</x:v>
      </x:c>
      <x:c r="F30" s="28" t="n">
        <x:v>3.6</x:v>
      </x:c>
      <x:c r="G30" s="28" t="n">
        <x:v>3.72</x:v>
      </x:c>
      <x:c r="H30" s="66"/>
      <x:c r="I30" s="66"/>
      <x:c r="J30" s="65" t="n">
        <x:v>0.9986171126365662</x:v>
      </x:c>
      <x:c r="K30" t="str">
        <x:v>官方日报快报</x:v>
      </x:c>
      <x:c r="L30" t="str">
        <x:v>https://mp.weixin.qq.com/s?__biz=MzUxOTMxNjk0OQ==&amp;mid=2247508613&amp;idx=1&amp;sn=4e0af98dd8e12817a99c5deca5ccd1f6&amp;chksm=f9f9963fce8e1f29c5c13fa7546b517fa8c0595885263a52f2fa9bb763ab3d5f545df75a24cd#rd</x:v>
      </x:c>
    </x:row>
    <x:row r="31" ht="25" customHeight="1">
      <x:c r="A31" s="13" t="d">
        <x:v>2026-10-01T00:00:00.000Z</x:v>
      </x:c>
      <x:c r="B31" s="28" t="n">
        <x:v>321.07</x:v>
      </x:c>
      <x:c r="C31" s="28" t="n">
        <x:v>305.73</x:v>
      </x:c>
      <x:c r="D31" s="28" t="n">
        <x:v>385.9</x:v>
      </x:c>
      <x:c r="E31" s="28" t="n">
        <x:v>382.69</x:v>
      </x:c>
      <x:c r="F31" s="28" t="n">
        <x:v>3.63</x:v>
      </x:c>
      <x:c r="G31" s="28" t="n">
        <x:v>3.68</x:v>
      </x:c>
      <x:c r="H31" s="66"/>
      <x:c r="I31" s="66"/>
      <x:c r="J31" s="65" t="n">
        <x:v>0.9991264939308167</x:v>
      </x:c>
      <x:c r="K31" t="str">
        <x:v>官方日报快报</x:v>
      </x:c>
      <x:c r="L31" t="str">
        <x:v>https://mp.weixin.qq.com/s?__biz=MzUxOTMxNjk0OQ==&amp;mid=2247508615&amp;idx=1&amp;sn=df48ec792dd57c9cc82b8673b5ee4c23&amp;chksm=f9f9963dce8e1f2bb6a6d438c8bf3cb4b86f004c068cb697e55de995a7402a860d002e5fee3c#rd</x:v>
      </x:c>
    </x:row>
    <x:row r="32" ht="25" customHeight="1">
      <x:c r="A32" s="13" t="d">
        <x:v>2026-10-02T00:00:00.000Z</x:v>
      </x:c>
      <x:c r="B32" s="28" t="n">
        <x:v>219.02</x:v>
      </x:c>
      <x:c r="C32" s="28" t="n">
        <x:v>227.48</x:v>
      </x:c>
      <x:c r="D32" s="28" t="n">
        <x:v>262.3</x:v>
      </x:c>
      <x:c r="E32" s="28" t="n">
        <x:v>263.13</x:v>
      </x:c>
      <x:c r="F32" s="28" t="n">
        <x:v>3.46</x:v>
      </x:c>
      <x:c r="G32" s="28" t="n">
        <x:v>3.42</x:v>
      </x:c>
      <x:c r="H32" s="66"/>
      <x:c r="I32" s="66"/>
      <x:c r="J32" s="65" t="n">
        <x:v>0.9983491897583008</x:v>
      </x:c>
      <x:c r="K32" t="str">
        <x:v>官方日报快报</x:v>
      </x:c>
      <x:c r="L32" t="str">
        <x:v>https://mp.weixin.qq.com/s?__biz=MzUxOTMxNjk0OQ==&amp;mid=2247508617&amp;idx=1&amp;sn=e42b8893432963c4bf5778da2aed08ff&amp;chksm=f9f99633ce8e1f25351b8b008ef03d743744b29d50e0766298da774bb0ed7461f9ae950d246b#rd</x:v>
      </x:c>
    </x:row>
    <x:row r="33" ht="25" customHeight="1">
      <x:c r="A33" s="13" t="d">
        <x:v>2026-10-03T00:00:00.000Z</x:v>
      </x:c>
      <x:c r="B33" s="28" t="n">
        <x:v>264.94</x:v>
      </x:c>
      <x:c r="C33" s="28" t="n">
        <x:v>288.85</x:v>
      </x:c>
      <x:c r="D33" s="28" t="n">
        <x:v>327.18</x:v>
      </x:c>
      <x:c r="E33" s="28" t="n">
        <x:v>345.56</x:v>
      </x:c>
      <x:c r="F33" s="28" t="n">
        <x:v>3.59</x:v>
      </x:c>
      <x:c r="G33" s="28" t="n">
        <x:v>3.62</x:v>
      </x:c>
      <x:c r="H33" s="66"/>
      <x:c r="I33" s="66"/>
      <x:c r="J33" s="65" t="n">
        <x:v>0.9985541701316833</x:v>
      </x:c>
      <x:c r="K33" t="str">
        <x:v>官方日报快报</x:v>
      </x:c>
      <x:c r="L33" t="str">
        <x:v>https://mp.weixin.qq.com/s?__biz=MzUxOTMxNjk0OQ==&amp;mid=2247508619&amp;idx=1&amp;sn=7e9957ee3fb76ea34704386cfd2d611d&amp;chksm=f9f99631ce8e1f273a863a33c357c08d707aa25b97490b7419c862a083786f74fe5571f897c0#rd</x:v>
      </x:c>
    </x:row>
    <x:row r="34" ht="25" customHeight="1">
      <x:c r="A34" s="13" t="d">
        <x:v>2026-10-04T00:00:00.000Z</x:v>
      </x:c>
      <x:c r="B34" s="28" t="n">
        <x:v>343.6</x:v>
      </x:c>
      <x:c r="C34" s="28" t="n">
        <x:v>327.15</x:v>
      </x:c>
      <x:c r="D34" s="28" t="n">
        <x:v>417.17</x:v>
      </x:c>
      <x:c r="E34" s="28" t="n">
        <x:v>406.55</x:v>
      </x:c>
      <x:c r="F34" s="28" t="n">
        <x:v>3.59</x:v>
      </x:c>
      <x:c r="G34" s="28" t="n">
        <x:v>3.72</x:v>
      </x:c>
      <x:c r="H34" s="66"/>
      <x:c r="I34" s="66"/>
      <x:c r="J34" s="65" t="n">
        <x:v>0.9888945817947388</x:v>
      </x:c>
      <x:c r="K34" t="str">
        <x:v>官方日报快报</x:v>
      </x:c>
      <x:c r="L34" t="str">
        <x:v>https://mp.weixin.qq.com/s?__biz=MzUxOTMxNjk0OQ==&amp;mid=2247508622&amp;idx=1&amp;sn=852c4a2b0f5158ea949dc1dec7c59c33&amp;chksm=f9f99634ce8e1f22751acc7c784a535750b02e6ce45d47791a385ed14025f13a1cb2b9a83582#rd</x:v>
      </x:c>
    </x:row>
    <x:row r="35" ht="25" customHeight="1">
      <x:c r="A35" s="13" t="d">
        <x:v>2026-10-05T00:00:00.000Z</x:v>
      </x:c>
      <x:c r="B35" s="28" t="n">
        <x:v>323.57</x:v>
      </x:c>
      <x:c r="C35" s="28" t="n">
        <x:v>366.9</x:v>
      </x:c>
      <x:c r="D35" s="28" t="n">
        <x:v>376.8</x:v>
      </x:c>
      <x:c r="E35" s="28" t="n">
        <x:v>439.77</x:v>
      </x:c>
      <x:c r="F35" s="28" t="n">
        <x:v>3.73</x:v>
      </x:c>
      <x:c r="G35" s="28" t="n">
        <x:v>3.81</x:v>
      </x:c>
      <x:c r="H35" s="66"/>
      <x:c r="I35" s="66"/>
      <x:c r="J35" s="65" t="n">
        <x:v>0.9933830499649048</x:v>
      </x:c>
      <x:c r="K35" t="str">
        <x:v>官方日报快报</x:v>
      </x:c>
      <x:c r="L35" t="str">
        <x:v>https://mp.weixin.qq.com/s?__biz=MzUxOTMxNjk0OQ==&amp;mid=2247508624&amp;idx=1&amp;sn=b811b75017b66095c31bd1a899af9db0&amp;chksm=f9f9962ace8e1f3c151c82d8c78f227218b9c700bb27bb53a69166786234fd4ca8fee30884e6#rd</x:v>
      </x:c>
    </x:row>
    <x:row r="36" ht="25" customHeight="1">
      <x:c r="A36" s="13" t="d">
        <x:v>2026-10-06T00:00:00.000Z</x:v>
      </x:c>
      <x:c r="B36" s="28" t="n">
        <x:v>334.43</x:v>
      </x:c>
      <x:c r="C36" s="28" t="n">
        <x:v>344.9</x:v>
      </x:c>
      <x:c r="D36" s="28" t="n">
        <x:v>381.19</x:v>
      </x:c>
      <x:c r="E36" s="28" t="n">
        <x:v>401.01</x:v>
      </x:c>
      <x:c r="F36" s="28" t="n">
        <x:v>3.8</x:v>
      </x:c>
      <x:c r="G36" s="28" t="n">
        <x:v>3.9</x:v>
      </x:c>
      <x:c r="H36" s="66"/>
      <x:c r="I36" s="66"/>
      <x:c r="J36" s="65" t="n">
        <x:v>0.9949532151222229</x:v>
      </x:c>
      <x:c r="K36" t="str">
        <x:v>官方日报快报</x:v>
      </x:c>
      <x:c r="L36" t="str">
        <x:v>https://mp.weixin.qq.com/s?__biz=MzUxOTMxNjk0OQ==&amp;mid=2247508627&amp;idx=1&amp;sn=3095ebbe84ae9eec91dc4742511341e8&amp;chksm=f9f99629ce8e1f3fb517e638ebf2ccd7913b9cb01fff6279bdd9bd0dba3a25490cd9b81d2359#rd</x:v>
      </x:c>
    </x:row>
    <x:row r="37" ht="25" customHeight="1">
      <x:c r="A37" s="13" t="d">
        <x:v>2026-10-07T00:00:00.000Z</x:v>
      </x:c>
      <x:c r="B37" s="28" t="n">
        <x:v>103.89</x:v>
      </x:c>
      <x:c r="C37" s="28" t="n">
        <x:v>101.25</x:v>
      </x:c>
      <x:c r="D37" s="28" t="n">
        <x:v>121.09</x:v>
      </x:c>
      <x:c r="E37" s="28" t="n">
        <x:v>119.14</x:v>
      </x:c>
      <x:c r="F37" s="28" t="n">
        <x:v>3.69</x:v>
      </x:c>
      <x:c r="G37" s="28" t="n">
        <x:v>3.65</x:v>
      </x:c>
      <x:c r="H37" s="66"/>
      <x:c r="I37" s="66"/>
      <x:c r="J37" s="65" t="n">
        <x:v>0.9992390275001526</x:v>
      </x:c>
      <x:c r="K37" t="str">
        <x:v>官方日报快报</x:v>
      </x:c>
      <x:c r="L37" t="str">
        <x:v>https://mp.weixin.qq.com/s?__biz=MzUxOTMxNjk0OQ==&amp;mid=2247508631&amp;idx=1&amp;sn=032fba014f7dfad58eca6e2074826950&amp;chksm=f9f9962dce8e1f3b0d8643af17ce96e8361fc13e3d20efe45b64801c992ac73128c794b125cc#rd</x:v>
      </x:c>
    </x:row>
    <x:row r="38" ht="25" customHeight="1">
      <x:c r="A38" s="13" t="d">
        <x:v>2026-10-08T00:00:00.000Z</x:v>
      </x:c>
      <x:c r="B38" s="28" t="n">
        <x:v>297.38</x:v>
      </x:c>
      <x:c r="C38" s="28" t="n">
        <x:v>344.64</x:v>
      </x:c>
      <x:c r="D38" s="28" t="n">
        <x:v>356.04</x:v>
      </x:c>
      <x:c r="E38" s="28" t="n">
        <x:v>420.19</x:v>
      </x:c>
      <x:c r="F38" s="28" t="n">
        <x:v>3.89</x:v>
      </x:c>
      <x:c r="G38" s="28" t="n">
        <x:v>4</x:v>
      </x:c>
      <x:c r="H38" s="66"/>
      <x:c r="I38" s="66"/>
      <x:c r="J38" s="65" t="n">
        <x:v>0.9899292588233948</x:v>
      </x:c>
      <x:c r="K38" t="str">
        <x:v>官方日报快报</x:v>
      </x:c>
      <x:c r="L38" t="str">
        <x:v>https://mp.weixin.qq.com/s?__biz=MzUxOTMxNjk0OQ==&amp;mid=2247508636&amp;idx=1&amp;sn=9c85d4132b04d6fb7e8be60ab35b7b4e&amp;chksm=f9f99626ce8e1f30bd7c81c364d3667e2a01025dd62e18b0670396857e67081c4504156b800c#rd</x:v>
      </x:c>
    </x:row>
    <x:row r="39" ht="25" customHeight="1">
      <x:c r="A39" s="13" t="d">
        <x:v>2026-10-09T00:00:00.000Z</x:v>
      </x:c>
      <x:c r="B39" s="28" t="n">
        <x:v>264.25</x:v>
      </x:c>
      <x:c r="C39" s="28" t="n">
        <x:v>278.37</x:v>
      </x:c>
      <x:c r="D39" s="28" t="n">
        <x:v>316.49</x:v>
      </x:c>
      <x:c r="E39" s="28" t="n">
        <x:v>331.22</x:v>
      </x:c>
      <x:c r="F39" s="28" t="n">
        <x:v>4.03</x:v>
      </x:c>
      <x:c r="G39" s="28" t="n">
        <x:v>4.12</x:v>
      </x:c>
      <x:c r="H39" s="66"/>
      <x:c r="I39" s="66"/>
      <x:c r="J39" s="65" t="n">
        <x:v>0.9919092655181885</x:v>
      </x:c>
      <x:c r="K39" t="str">
        <x:v>官方日报快报</x:v>
      </x:c>
      <x:c r="L39" t="str">
        <x:v>https://mp.weixin.qq.com/s?__biz=MzUxOTMxNjk0OQ==&amp;mid=2247508640&amp;idx=1&amp;sn=f81b3779c9306262d4da780fcd642bb0&amp;chksm=f9f9961ace8e1f0c35aefebc6a85274d8451d3d6e13b31c6ee4f93cfd3f05efce99af64c3453#rd</x:v>
      </x:c>
    </x:row>
    <x:row r="40" ht="25" customHeight="1">
      <x:c r="A40" s="13" t="d">
        <x:v>2026-10-10T00:00:00.000Z</x:v>
      </x:c>
      <x:c r="B40" s="28" t="n">
        <x:v>378.83</x:v>
      </x:c>
      <x:c r="C40" s="28" t="n">
        <x:v>387.17</x:v>
      </x:c>
      <x:c r="D40" s="28" t="n">
        <x:v>441.2</x:v>
      </x:c>
      <x:c r="E40" s="28" t="n">
        <x:v>454.31</x:v>
      </x:c>
      <x:c r="F40" s="28" t="n">
        <x:v>4.1</x:v>
      </x:c>
      <x:c r="G40" s="28" t="n">
        <x:v>4.42</x:v>
      </x:c>
      <x:c r="H40" s="66"/>
      <x:c r="I40" s="66"/>
      <x:c r="J40" s="65" t="n">
        <x:v>0.9922775030136108</x:v>
      </x:c>
      <x:c r="K40" t="str">
        <x:v>官方日报快报</x:v>
      </x:c>
      <x:c r="L40" t="str">
        <x:v>https://mp.weixin.qq.com/s?__biz=MzUxOTMxNjk0OQ==&amp;mid=2247508642&amp;idx=1&amp;sn=aca07c9f1d08c1ea525a7fc79967e537&amp;chksm=f9f99618ce8e1f0e3fcfc5a26a05349445526347b52952961eaa3af6cdd271a6bae28a9de71f#rd</x:v>
      </x:c>
    </x:row>
    <x:row r="41" ht="25" customHeight="1">
      <x:c r="A41" s="13" t="d">
        <x:v>2026-10-11T00:00:00.000Z</x:v>
      </x:c>
      <x:c r="B41" s="28" t="n">
        <x:v>294.24</x:v>
      </x:c>
      <x:c r="C41" s="28" t="n">
        <x:v>313.15</x:v>
      </x:c>
      <x:c r="D41" s="28" t="n">
        <x:v>313.04</x:v>
      </x:c>
      <x:c r="E41" s="28" t="n">
        <x:v>329.44</x:v>
      </x:c>
      <x:c r="F41" s="28" t="n">
        <x:v>4.19</x:v>
      </x:c>
      <x:c r="G41" s="28" t="n">
        <x:v>4.32</x:v>
      </x:c>
      <x:c r="H41" s="66"/>
      <x:c r="I41" s="66"/>
      <x:c r="J41" s="65" t="n">
        <x:v>0.9981294274330139</x:v>
      </x:c>
      <x:c r="K41" t="str">
        <x:v>官方日报快报</x:v>
      </x:c>
      <x:c r="L41" t="str">
        <x:v>https://mp.weixin.qq.com/s?__biz=MzUxOTMxNjk0OQ==&amp;mid=2247508646&amp;idx=1&amp;sn=800d8c300852350b0b8586ebf97890c2&amp;chksm=f9f9961cce8e1f0a7fd0b2d507b67b485bb91357a38309337fa80cacd8d741d1d82a38e6d3a2#rd</x:v>
      </x:c>
    </x:row>
    <x:row r="42" ht="25" customHeight="1">
      <x:c r="A42" s="13" t="d">
        <x:v>2026-10-12T00:00:00.000Z</x:v>
      </x:c>
      <x:c r="B42" s="28" t="n">
        <x:v>320.5</x:v>
      </x:c>
      <x:c r="C42" s="28" t="n">
        <x:v>348.2</x:v>
      </x:c>
      <x:c r="D42" s="28" t="n">
        <x:v>351.18</x:v>
      </x:c>
      <x:c r="E42" s="28" t="n">
        <x:v>376.5</x:v>
      </x:c>
      <x:c r="F42" s="28" t="n">
        <x:v>4.42</x:v>
      </x:c>
      <x:c r="G42" s="28" t="n">
        <x:v>4.49</x:v>
      </x:c>
      <x:c r="H42" s="66"/>
      <x:c r="I42" s="66"/>
      <x:c r="J42" s="65" t="n">
        <x:v>0.9875694513320923</x:v>
      </x:c>
      <x:c r="K42" t="str">
        <x:v>官方日报快报</x:v>
      </x:c>
      <x:c r="L42" t="str">
        <x:v>https://mp.weixin.qq.com/s?__biz=MzUxOTMxNjk0OQ==&amp;mid=2247508650&amp;idx=1&amp;sn=55d0d257aeb49e61ff1b64390e6a825d&amp;chksm=f9f99610ce8e1f06d879e304b10fb6f34d150920e0cd23a7e8c4979a7683e83f8a2834b53db1#rd</x:v>
      </x:c>
    </x:row>
    <x:row r="43" ht="25" customHeight="1">
      <x:c r="A43" s="13" t="d">
        <x:v>2026-10-13T00:00:00.000Z</x:v>
      </x:c>
      <x:c r="B43" s="28" t="n">
        <x:v>300.46</x:v>
      </x:c>
      <x:c r="C43" s="28" t="n">
        <x:v>314.29</x:v>
      </x:c>
      <x:c r="D43" s="28" t="n">
        <x:v>343.43</x:v>
      </x:c>
      <x:c r="E43" s="28" t="n">
        <x:v>370.55</x:v>
      </x:c>
      <x:c r="F43" s="28" t="n">
        <x:v>4.19</x:v>
      </x:c>
      <x:c r="G43" s="28" t="n">
        <x:v>4.27</x:v>
      </x:c>
      <x:c r="H43" s="66"/>
      <x:c r="I43" s="66"/>
      <x:c r="J43" s="65" t="n">
        <x:v>0.9934802055358887</x:v>
      </x:c>
      <x:c r="K43" t="str">
        <x:v>官方日报快报</x:v>
      </x:c>
      <x:c r="L43" t="str">
        <x:v>https://mp.weixin.qq.com/s?__biz=MzUxOTMxNjk0OQ==&amp;mid=2247508676&amp;idx=1&amp;sn=490840b976f759ed4f8535e5a4f1a56b&amp;chksm=f9f9967ece8e1f680269fad289a8c3d43e5faded07e2f3628b5cab82d7e137ad7fbf37f74a71#rd</x:v>
      </x:c>
    </x:row>
    <x:row r="44" ht="25" customHeight="1">
      <x:c r="A44" s="13" t="d">
        <x:v>2026-10-14T00:00:00.000Z</x:v>
      </x:c>
      <x:c r="B44" s="28" t="n">
        <x:v>248.48</x:v>
      </x:c>
      <x:c r="C44" s="28" t="n">
        <x:v>218.14</x:v>
      </x:c>
      <x:c r="D44" s="28" t="n">
        <x:v>296.34</x:v>
      </x:c>
      <x:c r="E44" s="28" t="n">
        <x:v>269.37</x:v>
      </x:c>
      <x:c r="F44" s="28" t="n">
        <x:v>4.18</x:v>
      </x:c>
      <x:c r="G44" s="28" t="n">
        <x:v>4.12</x:v>
      </x:c>
      <x:c r="H44" s="66"/>
      <x:c r="I44" s="66"/>
      <x:c r="J44" s="65" t="n">
        <x:v>0.9990293979644775</x:v>
      </x:c>
      <x:c r="K44" t="str">
        <x:v>官方日报快报</x:v>
      </x:c>
      <x:c r="L44" t="str">
        <x:v>https://mp.weixin.qq.com/s?__biz=MzUxOTMxNjk0OQ==&amp;mid=2247508703&amp;idx=1&amp;sn=af16c9d8dfcfc88878e7bd865d219ae7&amp;chksm=f9f99665ce8e1f738762a1965bd1e34e2bc1f580ec4739c306554db1ab07e24416631e12fef7#rd</x:v>
      </x:c>
    </x:row>
    <x:row r="45" ht="25" customHeight="1">
      <x:c r="A45" s="13" t="d">
        <x:v>2026-10-15T00:00:00.000Z</x:v>
      </x:c>
      <x:c r="B45" s="28" t="n">
        <x:v>350.88</x:v>
      </x:c>
      <x:c r="C45" s="28" t="n">
        <x:v>388.98</x:v>
      </x:c>
      <x:c r="D45" s="28" t="n">
        <x:v>392.13</x:v>
      </x:c>
      <x:c r="E45" s="28" t="n">
        <x:v>442.11</x:v>
      </x:c>
      <x:c r="F45" s="28" t="n">
        <x:v>4.57</x:v>
      </x:c>
      <x:c r="G45" s="28" t="n">
        <x:v>4.61</x:v>
      </x:c>
      <x:c r="H45" s="66"/>
      <x:c r="I45" s="66"/>
      <x:c r="J45" s="65" t="n">
        <x:v>0.9902349710464478</x:v>
      </x:c>
      <x:c r="K45" t="str">
        <x:v>官方日报快报</x:v>
      </x:c>
      <x:c r="L45" t="str">
        <x:v>https://mp.weixin.qq.com/s?__biz=MzUxOTMxNjk0OQ==&amp;mid=2247508709&amp;idx=1&amp;sn=829a2d9bfdc7017e7f73a9b6c0a57c87&amp;chksm=f9f9965fce8e1f49ba723845b29100fd7a041dcc7b1af10ae186f733f66239b080e36dd95295#rd</x:v>
      </x:c>
    </x:row>
    <x:row r="46" ht="25" customHeight="1">
      <x:c r="A46" s="13" t="d">
        <x:v>2026-10-16T00:00:00.000Z</x:v>
      </x:c>
      <x:c r="B46" s="28" t="n">
        <x:v>332.85</x:v>
      </x:c>
      <x:c r="C46" s="28" t="n">
        <x:v>317.9</x:v>
      </x:c>
      <x:c r="D46" s="28" t="n">
        <x:v>333.06</x:v>
      </x:c>
      <x:c r="E46" s="28" t="n">
        <x:v>326.16</x:v>
      </x:c>
      <x:c r="F46" s="28" t="n">
        <x:v>4.66</x:v>
      </x:c>
      <x:c r="G46" s="28" t="n">
        <x:v>4.64</x:v>
      </x:c>
      <x:c r="H46" s="66"/>
      <x:c r="I46" s="66"/>
      <x:c r="J46" s="65" t="n">
        <x:v>0.9992111921310425</x:v>
      </x:c>
      <x:c r="K46" t="str">
        <x:v>官方日报快报</x:v>
      </x:c>
      <x:c r="L46" t="str">
        <x:v>https://mp.weixin.qq.com/s?__biz=MzUxOTMxNjk0OQ==&amp;mid=2247508711&amp;idx=1&amp;sn=39a96cea9b31689ea221ddf737f48056&amp;chksm=f9f9965dce8e1f4b00cbbed01b80d0433cab4fa2d397250f8ec2452b58e6044f4637d5986d22#rd</x:v>
      </x:c>
    </x:row>
    <x:row r="47" ht="25" customHeight="1">
      <x:c r="A47" s="13" t="d">
        <x:v>2026-10-17T00:00:00.000Z</x:v>
      </x:c>
      <x:c r="B47" s="28" t="n">
        <x:v>297.59</x:v>
      </x:c>
      <x:c r="C47" s="28" t="n">
        <x:v>237.28</x:v>
      </x:c>
      <x:c r="D47" s="28" t="n">
        <x:v>302.34</x:v>
      </x:c>
      <x:c r="E47" s="28" t="n">
        <x:v>248.71</x:v>
      </x:c>
      <x:c r="F47" s="28" t="n">
        <x:v>4.37</x:v>
      </x:c>
      <x:c r="G47" s="28" t="n">
        <x:v>4.09</x:v>
      </x:c>
      <x:c r="H47" s="66"/>
      <x:c r="I47" s="66"/>
      <x:c r="J47" s="65" t="n">
        <x:v>0.9981369972229004</x:v>
      </x:c>
      <x:c r="K47" t="str">
        <x:v>官方日报快报</x:v>
      </x:c>
      <x:c r="L47" t="str">
        <x:v>https://mp.weixin.qq.com/s?__biz=MzUxOTMxNjk0OQ==&amp;mid=2247508714&amp;idx=1&amp;sn=3afaed4f9619f93844c095de5a8e0c10&amp;chksm=f9f99650ce8e1f463e21e864579cd3313d3a70f0566f44ba061b61bfcaa7c0779fea2568dfa5#rd</x:v>
      </x:c>
    </x:row>
    <x:row r="48" ht="25" customHeight="1">
      <x:c r="A48" s="13" t="d">
        <x:v>2026-10-18T00:00:00.000Z</x:v>
      </x:c>
      <x:c r="B48" s="28" t="n">
        <x:v>350.69</x:v>
      </x:c>
      <x:c r="C48" s="28" t="n">
        <x:v>272.54</x:v>
      </x:c>
      <x:c r="D48" s="28" t="n">
        <x:v>377.54</x:v>
      </x:c>
      <x:c r="E48" s="28" t="n">
        <x:v>309.88</x:v>
      </x:c>
      <x:c r="F48" s="28" t="n">
        <x:v>4.68</x:v>
      </x:c>
      <x:c r="G48" s="28" t="n">
        <x:v>4.3</x:v>
      </x:c>
      <x:c r="H48" s="66"/>
      <x:c r="I48" s="66"/>
      <x:c r="J48" s="65" t="n">
        <x:v>0.9990958571434021</x:v>
      </x:c>
      <x:c r="K48" t="str">
        <x:v>官方日报快报</x:v>
      </x:c>
      <x:c r="L48" t="str">
        <x:v>https://mp.weixin.qq.com/s?__biz=MzUxOTMxNjk0OQ==&amp;mid=2247508718&amp;idx=1&amp;sn=6760b965bd44389ebfc27cbb491ee133&amp;chksm=f9f99654ce8e1f422915b7653c7dc23c11a23545473dbb3039e1f85ed5a29587122dc18c697f#rd</x:v>
      </x:c>
    </x:row>
    <x:row r="49" ht="25" customHeight="1">
      <x:c r="A49" s="13" t="d">
        <x:v>2026-10-19T00:00:00.000Z</x:v>
      </x:c>
      <x:c r="B49" s="28" t="n">
        <x:v>288.08</x:v>
      </x:c>
      <x:c r="C49" s="28" t="n">
        <x:v>250.71</x:v>
      </x:c>
      <x:c r="D49" s="28" t="n">
        <x:v>316.43</x:v>
      </x:c>
      <x:c r="E49" s="28" t="n">
        <x:v>287.93</x:v>
      </x:c>
      <x:c r="F49" s="28" t="n">
        <x:v>4.25</x:v>
      </x:c>
      <x:c r="G49" s="28" t="n">
        <x:v>4.14</x:v>
      </x:c>
      <x:c r="H49" s="66"/>
      <x:c r="I49" s="66"/>
      <x:c r="J49" s="65" t="n">
        <x:v>0.9988588690757751</x:v>
      </x:c>
      <x:c r="K49" t="str">
        <x:v>官方日报快报</x:v>
      </x:c>
      <x:c r="L49" t="str">
        <x:v>https://mp.weixin.qq.com/s?__biz=MzUxOTMxNjk0OQ==&amp;mid=2247508734&amp;idx=1&amp;sn=997c63ab3d086111d129c0314c77b263&amp;chksm=f9f99644ce8e1f52456278ed52ade1105fdd24e73d013887304b9c6a9843530ecd4a5129b50b#rd</x:v>
      </x:c>
    </x:row>
    <x:row r="50" ht="25" customHeight="1">
      <x:c r="A50" s="13" t="d">
        <x:v>2026-10-20T00:00:00.000Z</x:v>
      </x:c>
      <x:c r="B50" s="28" t="n">
        <x:v>291.15</x:v>
      </x:c>
      <x:c r="C50" s="28" t="n">
        <x:v>292.21</x:v>
      </x:c>
      <x:c r="D50" s="28" t="n">
        <x:v>329.22</x:v>
      </x:c>
      <x:c r="E50" s="28" t="n">
        <x:v>317.76</x:v>
      </x:c>
      <x:c r="F50" s="28" t="n">
        <x:v>4.36</x:v>
      </x:c>
      <x:c r="G50" s="28" t="n">
        <x:v>4.36</x:v>
      </x:c>
      <x:c r="H50" s="66"/>
      <x:c r="I50" s="66"/>
      <x:c r="J50" s="65" t="n">
        <x:v>0.9985786080360413</x:v>
      </x:c>
      <x:c r="K50" t="str">
        <x:v>官方日报快报</x:v>
      </x:c>
      <x:c r="L50" t="str">
        <x:v>https://mp.weixin.qq.com/s?__biz=MzUxOTMxNjk0OQ==&amp;mid=2247508743&amp;idx=1&amp;sn=de71a701cde75088dcc9b05b3ed22457&amp;chksm=f9f997bdce8e1eab4d2bb8aa5b015108a8cbaaf3b7bc739dbe56fee06898a7ec5f55f9bc68be#rd</x:v>
      </x:c>
    </x:row>
    <x:row r="51" ht="25" customHeight="1">
      <x:c r="A51" s="13" t="d">
        <x:v>2026-10-21T00:00:00.000Z</x:v>
      </x:c>
      <x:c r="B51" s="28" t="n">
        <x:v>325.6</x:v>
      </x:c>
      <x:c r="C51" s="28" t="n">
        <x:v>308.63</x:v>
      </x:c>
      <x:c r="D51" s="28" t="n">
        <x:v>382.97</x:v>
      </x:c>
      <x:c r="E51" s="28" t="n">
        <x:v>368.24</x:v>
      </x:c>
      <x:c r="F51" s="28" t="n">
        <x:v>4.25</x:v>
      </x:c>
      <x:c r="G51" s="28" t="n">
        <x:v>4.4</x:v>
      </x:c>
      <x:c r="H51" s="66"/>
      <x:c r="I51" s="66"/>
      <x:c r="J51" s="65" t="n">
        <x:v>0.9984039664268494</x:v>
      </x:c>
      <x:c r="K51" t="str">
        <x:v>官方日报快报</x:v>
      </x:c>
      <x:c r="L51" t="str">
        <x:v>https://mp.weixin.qq.com/s?__biz=MzUxOTMxNjk0OQ==&amp;mid=2247508756&amp;idx=1&amp;sn=2145c8c5030137c66d76adb755ca696f&amp;chksm=f9f997aece8e1eb8987f223567e9969f3cfffc11ec90b90ea6c882b87a93d04e0a42f02c2eaf#rd</x:v>
      </x:c>
    </x:row>
    <x:row r="52" ht="25" customHeight="1">
      <x:c r="A52" s="13" t="d">
        <x:v>2026-10-22T00:00:00.000Z</x:v>
      </x:c>
      <x:c r="B52" s="28" t="n">
        <x:v>342.24</x:v>
      </x:c>
      <x:c r="C52" s="28" t="n">
        <x:v>335.29</x:v>
      </x:c>
      <x:c r="D52" s="28" t="n">
        <x:v>364.51</x:v>
      </x:c>
      <x:c r="E52" s="28" t="n">
        <x:v>353.86</x:v>
      </x:c>
      <x:c r="F52" s="28" t="n">
        <x:v>4.44</x:v>
      </x:c>
      <x:c r="G52" s="28" t="n">
        <x:v>4.48</x:v>
      </x:c>
      <x:c r="H52" s="66"/>
      <x:c r="I52" s="66"/>
      <x:c r="J52" s="65" t="n">
        <x:v>0.9956932067871094</x:v>
      </x:c>
      <x:c r="K52" t="str">
        <x:v>官方日报快报</x:v>
      </x:c>
      <x:c r="L52" t="str">
        <x:v>https://mp.weixin.qq.com/s?__biz=MzUxOTMxNjk0OQ==&amp;mid=2247508765&amp;idx=1&amp;sn=e83fd92caad39e81b2f6666f7753531d&amp;chksm=f9f997a7ce8e1eb18c864f5c4016b3789d9b2f364279d8354db3ff93dfbf5d6a747c5414a736#rd</x:v>
      </x:c>
    </x:row>
    <x:row r="53" ht="25" customHeight="1">
      <x:c r="A53" s="13" t="d">
        <x:v>2026-10-23T00:00:00.000Z</x:v>
      </x:c>
      <x:c r="B53" s="28" t="n">
        <x:v>289.16</x:v>
      </x:c>
      <x:c r="C53" s="28" t="n">
        <x:v>314.4</x:v>
      </x:c>
      <x:c r="D53" s="28" t="n">
        <x:v>331.49</x:v>
      </x:c>
      <x:c r="E53" s="28" t="n">
        <x:v>368.84</x:v>
      </x:c>
      <x:c r="F53" s="28" t="n">
        <x:v>4.26</x:v>
      </x:c>
      <x:c r="G53" s="28" t="n">
        <x:v>4.42</x:v>
      </x:c>
      <x:c r="H53" s="66"/>
      <x:c r="I53" s="66"/>
      <x:c r="J53" s="65" t="n">
        <x:v>0.9990001320838928</x:v>
      </x:c>
      <x:c r="K53" t="str">
        <x:v>官方日报快报</x:v>
      </x:c>
      <x:c r="L53" t="str">
        <x:v>https://mp.weixin.qq.com/s?__biz=MzUxOTMxNjk0OQ==&amp;mid=2247508767&amp;idx=1&amp;sn=cc7756320d9892334b89f9797f0df44f&amp;chksm=f9f997a5ce8e1eb372c477c0870090c5eb04afee63d0492f4f8dfc97715cd167ac722506cdd9#rd</x:v>
      </x:c>
    </x:row>
    <x:row r="54" ht="25" customHeight="1">
      <x:c r="A54" s="13" t="d">
        <x:v>2026-10-24T00:00:00.000Z</x:v>
      </x:c>
      <x:c r="B54" s="28" t="n">
        <x:v>358.59</x:v>
      </x:c>
      <x:c r="C54" s="28" t="n">
        <x:v>394.02</x:v>
      </x:c>
      <x:c r="D54" s="28" t="n">
        <x:v>370.76</x:v>
      </x:c>
      <x:c r="E54" s="28" t="n">
        <x:v>397.84</x:v>
      </x:c>
      <x:c r="F54" s="28" t="n">
        <x:v>4.54</x:v>
      </x:c>
      <x:c r="G54" s="28" t="n">
        <x:v>4.75</x:v>
      </x:c>
      <x:c r="H54" s="66"/>
      <x:c r="I54" s="66"/>
      <x:c r="J54" s="65" t="n">
        <x:v>0.9983170628547668</x:v>
      </x:c>
      <x:c r="K54" t="str">
        <x:v>官方日报快报</x:v>
      </x:c>
      <x:c r="L54" t="str">
        <x:v>https://mp.weixin.qq.com/s?__biz=MzUxOTMxNjk0OQ==&amp;mid=2247508770&amp;idx=1&amp;sn=84d14498290ba28439c433948e7c83b4&amp;chksm=f9f99798ce8e1e8ed325735a7cefcaa0242f456b9c3364a7522698cbc91c25a6dfde83a08177#rd</x:v>
      </x:c>
    </x:row>
    <x:row r="55" ht="25" customHeight="1">
      <x:c r="A55" s="13" t="d">
        <x:v>2026-10-25T00:00:00.000Z</x:v>
      </x:c>
      <x:c r="B55" s="28" t="n">
        <x:v>359.51</x:v>
      </x:c>
      <x:c r="C55" s="28" t="n">
        <x:v>358.79</x:v>
      </x:c>
      <x:c r="D55" s="28" t="n">
        <x:v>360.82</x:v>
      </x:c>
      <x:c r="E55" s="28" t="n">
        <x:v>360.57</x:v>
      </x:c>
      <x:c r="F55" s="28" t="n">
        <x:v>4.75</x:v>
      </x:c>
      <x:c r="G55" s="28" t="n">
        <x:v>4.66</x:v>
      </x:c>
      <x:c r="H55" s="66"/>
      <x:c r="I55" s="66"/>
      <x:c r="J55" s="65" t="n">
        <x:v>0.9937778115272522</x:v>
      </x:c>
      <x:c r="K55" t="str">
        <x:v>官方日报快报</x:v>
      </x:c>
      <x:c r="L55" t="str">
        <x:v>https://mp.weixin.qq.com/s?__biz=MzUxOTMxNjk0OQ==&amp;mid=2247508773&amp;idx=1&amp;sn=318d5cbf69907cd4d72eb87acd515592&amp;chksm=f9f9979fce8e1e89d5f6904957d1696d2c0f0f32139699441f6ed1bfe0a36079e1d60099c9d3#rd</x:v>
      </x:c>
    </x:row>
    <x:row r="56" ht="25" customHeight="1">
      <x:c r="A56" s="13" t="d">
        <x:v>2026-10-26T00:00:00.000Z</x:v>
      </x:c>
      <x:c r="B56" s="28" t="n">
        <x:v>346.07</x:v>
      </x:c>
      <x:c r="C56" s="28" t="n">
        <x:v>340.76</x:v>
      </x:c>
      <x:c r="D56" s="28" t="n">
        <x:v>366.46</x:v>
      </x:c>
      <x:c r="E56" s="28" t="n">
        <x:v>363.4</x:v>
      </x:c>
      <x:c r="F56" s="28" t="n">
        <x:v>4.79</x:v>
      </x:c>
      <x:c r="G56" s="28" t="n">
        <x:v>4.69</x:v>
      </x:c>
      <x:c r="H56" s="66"/>
      <x:c r="I56" s="66"/>
      <x:c r="J56" s="65" t="n">
        <x:v>0.9970530271530151</x:v>
      </x:c>
      <x:c r="K56" t="str">
        <x:v>官方日报快报</x:v>
      </x:c>
      <x:c r="L56" t="str">
        <x:v>https://mp.weixin.qq.com/s?__biz=MzUxOTMxNjk0OQ==&amp;mid=2247508777&amp;idx=1&amp;sn=f7d43f78a65b482342402b84e0b8bd75&amp;chksm=f9f99793ce8e1e85f7b3bf8e7acd30fc655554081a9f16cf28232c60837eb5ce461f656f61e2#rd</x:v>
      </x:c>
    </x:row>
    <x:row r="57" ht="25" customHeight="1">
      <x:c r="A57" s="13" t="d">
        <x:v>2026-10-27T00:00:00.000Z</x:v>
      </x:c>
      <x:c r="B57" s="28" t="n">
        <x:v>329.33</x:v>
      </x:c>
      <x:c r="C57" s="28" t="n">
        <x:v>304.06</x:v>
      </x:c>
      <x:c r="D57" s="28" t="n">
        <x:v>353.67</x:v>
      </x:c>
      <x:c r="E57" s="28" t="n">
        <x:v>341.79</x:v>
      </x:c>
      <x:c r="F57" s="28" t="n">
        <x:v>4.73</x:v>
      </x:c>
      <x:c r="G57" s="28" t="n">
        <x:v>4.6</x:v>
      </x:c>
      <x:c r="H57" s="66"/>
      <x:c r="I57" s="66"/>
      <x:c r="J57" s="65" t="n">
        <x:v>0.9988179206848145</x:v>
      </x:c>
      <x:c r="K57" t="str">
        <x:v>官方日报快报</x:v>
      </x:c>
      <x:c r="L57" t="str">
        <x:v>https://mp.weixin.qq.com/s?__biz=MzUxOTMxNjk0OQ==&amp;mid=2247508796&amp;idx=1&amp;sn=5f17ee856e7b7a3f55629bdf50313db2&amp;chksm=f9f99786ce8e1e905ba251bb777ef2b92ee655bfe00c6823fd6a12109128c8a0576b7602654e#rd</x:v>
      </x:c>
    </x:row>
    <x:row r="59" ht="28" customHeight="1">
      <x:c r="A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B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C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D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E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F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G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H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I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J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K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L59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</x:row>
    <x:row r="60" ht="28" customHeight="1">
      <x:c r="A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B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C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D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E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F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G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H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I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J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K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  <x:c r="L60" s="45" t="str">
        <x:v>空白表示未直接披露，绝非0。快报电量换为MWh的系数为100000，但与官网存量存在约4倍差异，原因尚未确认。未调整官网值；本表也不参与官网主序列的月度汇总。原图与OCR文件路径保存在wechat_daily_flash.json。</x:v>
      </x:c>
    </x:row>
  </x:sheetData>
  <x:mergeCells>
    <x:mergeCell ref="A1:L1"/>
    <x:mergeCell ref="A2:L3"/>
    <x:mergeCell ref="A59:L60"/>
  </x:mergeCells>
  <x:pageMargins left="0.7" right="0.7" top="0.75" bottom="0.75" header="0.3" footer="0.3"/>
</x:worksheet>
</file>